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Track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<sst xmlns="http://schemas.openxmlformats.org/spreadsheetml/2006/main" count="261" uniqueCount="157">
  <si>
    <t xml:space="preserve">Odysee — Personal AI Travel Companion · Project Plan</t>
  </si>
  <si>
    <r>
      <rPr>
        <sz val="10"/>
        <color rgb="FF8A8070"/>
        <rFont val="Calibri"/>
        <family val="0"/>
        <charset val="1"/>
      </rPr>
      <t xml:space="preserve">David Castiel | M.Design · HIT | </t>
    </r>
    <r>
      <rPr>
        <sz val="10"/>
        <color rgb="FF8A8070"/>
        <rFont val="FreeSans"/>
        <family val="2"/>
      </rPr>
      <t xml:space="preserve">הגשת ספר </t>
    </r>
    <r>
      <rPr>
        <sz val="10"/>
        <color rgb="FF8A8070"/>
        <rFont val="Calibri"/>
        <family val="0"/>
        <charset val="1"/>
      </rPr>
      <t xml:space="preserve">4.8.2026 · </t>
    </r>
    <r>
      <rPr>
        <sz val="10"/>
        <color rgb="FF8A8070"/>
        <rFont val="FreeSans"/>
        <family val="2"/>
      </rPr>
      <t xml:space="preserve">תערוכה </t>
    </r>
    <r>
      <rPr>
        <sz val="10"/>
        <color rgb="FF8A8070"/>
        <rFont val="Calibri"/>
        <family val="0"/>
        <charset val="1"/>
      </rPr>
      <t xml:space="preserve">6–19.8.2026 | </t>
    </r>
    <r>
      <rPr>
        <sz val="10"/>
        <color rgb="FF8A8070"/>
        <rFont val="FreeSans"/>
        <family val="2"/>
      </rPr>
      <t xml:space="preserve">עודכן </t>
    </r>
    <r>
      <rPr>
        <sz val="10"/>
        <color rgb="FF8A8070"/>
        <rFont val="Calibri"/>
        <family val="0"/>
        <charset val="1"/>
      </rPr>
      <t xml:space="preserve">7.6.2026 — </t>
    </r>
    <r>
      <rPr>
        <sz val="10"/>
        <color rgb="FF8A8070"/>
        <rFont val="FreeSans"/>
        <family val="2"/>
      </rPr>
      <t xml:space="preserve">תאריכים </t>
    </r>
    <r>
      <rPr>
        <sz val="10"/>
        <color rgb="FF8A8070"/>
        <rFont val="Calibri"/>
        <family val="0"/>
        <charset val="1"/>
      </rPr>
      <t xml:space="preserve">= strawman, </t>
    </r>
    <r>
      <rPr>
        <sz val="10"/>
        <color rgb="FF8A8070"/>
        <rFont val="FreeSans"/>
        <family val="2"/>
      </rPr>
      <t xml:space="preserve">לתיקון</t>
    </r>
  </si>
  <si>
    <t xml:space="preserve">#</t>
  </si>
  <si>
    <t xml:space="preserve">פאזה</t>
  </si>
  <si>
    <t xml:space="preserve">משימה</t>
  </si>
  <si>
    <t xml:space="preserve">תאריך התחלה</t>
  </si>
  <si>
    <t xml:space="preserve">תאריך סיום</t>
  </si>
  <si>
    <t xml:space="preserve">משך (ימים)</t>
  </si>
  <si>
    <t xml:space="preserve">סטטוס</t>
  </si>
  <si>
    <t xml:space="preserve">הערות</t>
  </si>
  <si>
    <t xml:space="preserve">  ספר — Book (freeze ~26.7 · הגשה 4.8)</t>
  </si>
  <si>
    <t xml:space="preserve">ספר</t>
  </si>
  <si>
    <t xml:space="preserve">✅ פרקים 1–6 (טיוטה)</t>
  </si>
  <si>
    <t xml:space="preserve">DOCS</t>
  </si>
  <si>
    <t xml:space="preserve">מבוא·רקע·קונספט·ארכיטקטורה·UX·מערכת עיצוב — טיוטה גמורה</t>
  </si>
  <si>
    <t xml:space="preserve">✅ פרק 8 "הדור הבא" + ביבליוגרפיה (41)</t>
  </si>
  <si>
    <t xml:space="preserve">נכתב ושולב; הדיון הפך לפרק 9</t>
  </si>
  <si>
    <t xml:space="preserve">✅ איורים פרקים 2/4/5 (וקטורי)</t>
  </si>
  <si>
    <t xml:space="preserve">DESIGN</t>
  </si>
  <si>
    <t xml:space="preserve">משפך אמון · מפת 11 סוכנים · journey map · 5 מסכים</t>
  </si>
  <si>
    <t xml:space="preserve">✅ שכתוב פרק 6 ל-Brand V5</t>
  </si>
  <si>
    <t xml:space="preserve">מתעד מותג בן-שני-דורות; יחד עם design-system.html</t>
  </si>
  <si>
    <t xml:space="preserve">פיגורת לוגו + משפט-יישוב פרק 8 (V5)</t>
  </si>
  <si>
    <t xml:space="preserve">יישוב הפנים מול companion≠oracle</t>
  </si>
  <si>
    <t xml:space="preserve">אימות ביבליוגרפיה (כולל מקור ה-89%)</t>
  </si>
  <si>
    <t xml:space="preserve">KEY</t>
  </si>
  <si>
    <t xml:space="preserve">89%→Phocuswright? · Chile 21.383 · פטנט Apple · Nature MI — סיכון בוחן</t>
  </si>
  <si>
    <t xml:space="preserve">עריכת ניסוחים — כל הפרקים (Word flow)</t>
  </si>
  <si>
    <t xml:space="preserve">CONTENT</t>
  </si>
  <si>
    <t xml:space="preserve">David עורך ב-Word → החלה עדינה על ה-tex</t>
  </si>
  <si>
    <t xml:space="preserve">פרק 7 (תערוכה)</t>
  </si>
  <si>
    <t xml:space="preserve">חסום ל-spec + מיפוי סוף יוני</t>
  </si>
  <si>
    <t xml:space="preserve">פרק 9 (דיון)</t>
  </si>
  <si>
    <t xml:space="preserve">נכתב לקראת הסוף</t>
  </si>
  <si>
    <t xml:space="preserve">Abstract אנגלית + עברית</t>
  </si>
  <si>
    <t xml:space="preserve">לפי תקנון HIT</t>
  </si>
  <si>
    <t xml:space="preserve">הקפאת תוכן + הגהה + בנייה סופית</t>
  </si>
  <si>
    <t xml:space="preserve">freeze מוקדם — לא ב-4.8</t>
  </si>
  <si>
    <t xml:space="preserve">הדפסה + כריכה</t>
  </si>
  <si>
    <t xml:space="preserve">PRINT</t>
  </si>
  <si>
    <t xml:space="preserve">דורש קבצים סופיים שבוע מראש</t>
  </si>
  <si>
    <t xml:space="preserve">  אתר — Site (rebrand-v5 → main)</t>
  </si>
  <si>
    <t xml:space="preserve">אתר</t>
  </si>
  <si>
    <t xml:space="preserve">✅ מיגרציה Brand v1.0 + IA + next-generation</t>
  </si>
  <si>
    <t xml:space="preserve">5 עמודים + book/exhibition Coming Soon</t>
  </si>
  <si>
    <t xml:space="preserve">✅ rebrand V5: 8 לוגואים→פנים + צבעים</t>
  </si>
  <si>
    <t xml:space="preserve">ענף rebrand-v5</t>
  </si>
  <si>
    <t xml:space="preserve">✅ שכתוב design-system.html + hero-mark→פנים</t>
  </si>
  <si>
    <t xml:space="preserve">יחד עם פרק 6 בספר</t>
  </si>
  <si>
    <t xml:space="preserve">✅ תיקון agents.html ל-4 סוכנים חיים</t>
  </si>
  <si>
    <t xml:space="preserve">FIX</t>
  </si>
  <si>
    <t xml:space="preserve">סתירה ספר↔אתר (AGT-04 עדיין קונספטואלי באתר)</t>
  </si>
  <si>
    <t xml:space="preserve">Plus Jakarta Sans (גוף) + favicon.svg</t>
  </si>
  <si>
    <t xml:space="preserve">DEV</t>
  </si>
  <si>
    <t xml:space="preserve">עברית נשארת Heebo</t>
  </si>
  <si>
    <t xml:space="preserve">איחוד .brand-mark*+טוקנים לקובץ משותף</t>
  </si>
  <si>
    <t xml:space="preserve">חוב טכני — לפני שינויי מותג נוספים</t>
  </si>
  <si>
    <t xml:space="preserve">exhibition.html</t>
  </si>
  <si>
    <t xml:space="preserve">חסום ל-spec של HIT</t>
  </si>
  <si>
    <t xml:space="preserve">QA light/dark/mobile/RTL + OG image</t>
  </si>
  <si>
    <t xml:space="preserve">QA</t>
  </si>
  <si>
    <t xml:space="preserve">מיזוג rebrand-v5→main + פריסת GH Pages</t>
  </si>
  <si>
    <t xml:space="preserve">ודא .claude/worktrees ב-gitignore</t>
  </si>
  <si>
    <t xml:space="preserve">מיגרציית project-plan.html (לא דחוף)</t>
  </si>
  <si>
    <t xml:space="preserve">legacy RTL</t>
  </si>
  <si>
    <t xml:space="preserve">  אפליקציה + דמו — App &amp; Demo  ◀ נתיב קריטי</t>
  </si>
  <si>
    <t xml:space="preserve">אפליקציה</t>
  </si>
  <si>
    <t xml:space="preserve">✅ pipeline עובד (STT→agents→TTS)</t>
  </si>
  <si>
    <t xml:space="preserve">רץ יחסית טוב</t>
  </si>
  <si>
    <t xml:space="preserve">✅ 4 סוכנים עובדים בעיקרון (01/02/04/06)</t>
  </si>
  <si>
    <t xml:space="preserve">IMPL</t>
  </si>
  <si>
    <t xml:space="preserve">✅ tico-orb כפנים (idle/listen/think/speak)</t>
  </si>
  <si>
    <t xml:space="preserve">state machine + Web Audio</t>
  </si>
  <si>
    <t xml:space="preserve">עיצוב + ליטוש UI של הדמו</t>
  </si>
  <si>
    <t xml:space="preserve">"חסר לא מעט" — לב הנתיב הקריטי</t>
  </si>
  <si>
    <t xml:space="preserve">חיבור tico-orb ל-TTS envelope + VAD</t>
  </si>
  <si>
    <t xml:space="preserve">פה לפי אמפליטודה; מעברי-מצב</t>
  </si>
  <si>
    <t xml:space="preserve">AGT-06 אימות מקצה-לקצה</t>
  </si>
  <si>
    <t xml:space="preserve">frontend לא אומת בזרימה מלאה</t>
  </si>
  <si>
    <t xml:space="preserve">מודל אינטראקציה PTT (hold מול tap+silence)</t>
  </si>
  <si>
    <t xml:space="preserve">להחליט בבדיקה; Stream Deck Neo</t>
  </si>
  <si>
    <t xml:space="preserve">demo-mode לנפילת רשת (fallback ל-6 APIs)</t>
  </si>
  <si>
    <t xml:space="preserve">חובה — קו סלולרי בודד</t>
  </si>
  <si>
    <t xml:space="preserve">attract-loop + תוכן שיחה לקהל</t>
  </si>
  <si>
    <t xml:space="preserve">edge cases · תשובות ל-100–200 מבקרים</t>
  </si>
  <si>
    <t xml:space="preserve">שליחת מסלול שנבנה למבקר (QR → PDF)</t>
  </si>
  <si>
    <t xml:space="preserve">שכבת must-have הושלמה ואומתה e2e (generate_takeaway→R2→QR→PDF). email נהרג (PII). נותר: trigger דרך Stream Deck + commit</t>
  </si>
  <si>
    <t xml:space="preserve">אסטרטגיית תקציב TTS (שדרוג מ-NO_TTS)</t>
  </si>
  <si>
    <t xml:space="preserve">(אופ') מנגנון interrupt "תעצור"/barge-in</t>
  </si>
  <si>
    <t xml:space="preserve">נדחה; רלוונטי לקהל חי</t>
  </si>
  <si>
    <t xml:space="preserve">QA אינטגרציה מלאה (כל הסוכנים e2e)</t>
  </si>
  <si>
    <t xml:space="preserve">pilot עם משתמשים אמיתיים</t>
  </si>
  <si>
    <t xml:space="preserve">לגלות הפתעות לפני קהל</t>
  </si>
  <si>
    <t xml:space="preserve">watchdog/auto-relaunch לריצה רציפה 14 ימים</t>
  </si>
  <si>
    <t xml:space="preserve">אם הדמו קורס בלילה בריצה לא-מאוישת — זיהוי + הפעלה-מחדש אוטומטית</t>
  </si>
  <si>
    <t xml:space="preserve">STT ברעש גלריה — בדיקת זיהוי דיבור</t>
  </si>
  <si>
    <t xml:space="preserve">דיבור מבקרים ברעש קהל; ה-handset ממתן אך לאמת בתנאי-אמת</t>
  </si>
  <si>
    <t xml:space="preserve">  תערוכה / לוגיסטיקה — Exhibition</t>
  </si>
  <si>
    <t xml:space="preserve">תערוכה</t>
  </si>
  <si>
    <t xml:space="preserve">✅ החלטות חלל/מיצב</t>
  </si>
  <si>
    <t xml:space="preserve">מסך אחד · handset+PTT · Stream Deck Neo</t>
  </si>
  <si>
    <t xml:space="preserve">קבלת spec מ-HIT</t>
  </si>
  <si>
    <t xml:space="preserve">היה ל-26.5, מאחר — חוסם פרק 7/מיפוי/חשמל</t>
  </si>
  <si>
    <t xml:space="preserve">קביעת דגם Mac mini + גודל מסך</t>
  </si>
  <si>
    <t xml:space="preserve">HW</t>
  </si>
  <si>
    <t xml:space="preserve">לחישוב חשמל מדויק</t>
  </si>
  <si>
    <t xml:space="preserve">החלטת גיבוי חומרה (Mac mini/מודם/מיק רזרבי)</t>
  </si>
  <si>
    <t xml:space="preserve">מה קורה אם רכיב נופל באמצע 14 הימים — להחליט על רזרבה לפני התערוכה</t>
  </si>
  <si>
    <t xml:space="preserve">קבלת מודם סלולרי</t>
  </si>
  <si>
    <t xml:space="preserve">~שבועיים — חוסם בדיקת demo-mode</t>
  </si>
  <si>
    <t xml:space="preserve">מיפוי סופי + אישור חשמל/UPS מול האוצרת</t>
  </si>
  <si>
    <t xml:space="preserve">שקע 230V מוארק ייעודי + UPS קטן</t>
  </si>
  <si>
    <t xml:space="preserve">בדיקת תנאי-אמת Mac mini בחלל</t>
  </si>
  <si>
    <t xml:space="preserve">מומלץ למשוך קדימה — לא להשאיר לסוף יולי</t>
  </si>
  <si>
    <t xml:space="preserve">עיצוב פוסטר 1×0.7 (פורטרט)</t>
  </si>
  <si>
    <t xml:space="preserve">QR/הדפסת מסלול — takeaway פיזי למבקר</t>
  </si>
  <si>
    <t xml:space="preserve">פריסת הדפסה/QR; תלוי בפיצ'ר ה-export (משימה 32)</t>
  </si>
  <si>
    <t xml:space="preserve">הדפסת פוסטר + חומרי הסבר</t>
  </si>
  <si>
    <t xml:space="preserve">הרכבת חומרה + בדיקות</t>
  </si>
  <si>
    <t xml:space="preserve">מסך · רמקול · מיקרופון · Stream Deck</t>
  </si>
  <si>
    <t xml:space="preserve">הקמת התערוכה בחלל</t>
  </si>
  <si>
    <t xml:space="preserve">SETUP</t>
  </si>
  <si>
    <t xml:space="preserve">התקנה + בדיקה סופית במקום</t>
  </si>
  <si>
    <t xml:space="preserve">ימי תערוכה + תיעוד מערכת חיה</t>
  </si>
  <si>
    <t xml:space="preserve">LIVE</t>
  </si>
  <si>
    <t xml:space="preserve">וידאו+סטילס · הפעלה יומית · feedback</t>
  </si>
  <si>
    <t xml:space="preserve">פירוק + איסוף ציוד</t>
  </si>
  <si>
    <t xml:space="preserve">TEARDOWN</t>
  </si>
  <si>
    <t xml:space="preserve">  אבני דרך — Milestones</t>
  </si>
  <si>
    <t xml:space="preserve">אבן דרך</t>
  </si>
  <si>
    <t xml:space="preserve">📌 פגישת מנחה</t>
  </si>
  <si>
    <t xml:space="preserve">מגדיר את דרישות הצגת הביניים</t>
  </si>
  <si>
    <t xml:space="preserve">📌 הצגת ביניים (תוכן TBD)</t>
  </si>
  <si>
    <t xml:space="preserve">תאריך/תוכן ייקבעו אחרי 2.6</t>
  </si>
  <si>
    <t xml:space="preserve">📌 הקפאת ספר</t>
  </si>
  <si>
    <t xml:space="preserve">תוכן סופי לפני בנייה+הדפסה</t>
  </si>
  <si>
    <t xml:space="preserve">📌 dry-run מלא בתנאי תערוכה</t>
  </si>
  <si>
    <t xml:space="preserve">ריצה מלאה כמו יום הפתיחה</t>
  </si>
  <si>
    <t xml:space="preserve">📌 הגשת הספר</t>
  </si>
  <si>
    <t xml:space="preserve">SUBMIT</t>
  </si>
  <si>
    <t xml:space="preserve">deadline</t>
  </si>
  <si>
    <t xml:space="preserve">📌 פתיחת תערוכה</t>
  </si>
  <si>
    <t xml:space="preserve">Track Summary</t>
  </si>
  <si>
    <t xml:space="preserve">Track</t>
  </si>
  <si>
    <t xml:space="preserve">Name</t>
  </si>
  <si>
    <t xml:space="preserve">Start</t>
  </si>
  <si>
    <t xml:space="preserve">End</t>
  </si>
  <si>
    <t xml:space="preserve">Duration</t>
  </si>
  <si>
    <t xml:space="preserve">Focus</t>
  </si>
  <si>
    <t xml:space="preserve">טיוטה + rebrand פ'6 ✅ · נותר: פ'7, פ'9, אנגלית, ביבליו', הגהה, הדפסה</t>
  </si>
  <si>
    <t xml:space="preserve">מיגרציה + design-system + agents ✅ · נותר: פונט/favicon, איחוד טוקנים, exhibition, QA, מיזוג</t>
  </si>
  <si>
    <t xml:space="preserve">אפליקציה + דמו</t>
  </si>
  <si>
    <r>
      <rPr>
        <sz val="10"/>
        <color rgb="FFD0C8BC"/>
        <rFont val="Calibri"/>
        <family val="0"/>
        <charset val="1"/>
      </rPr>
      <t xml:space="preserve">pipeline + 4 </t>
    </r>
    <r>
      <rPr>
        <sz val="10"/>
        <color rgb="FFD0C8BC"/>
        <rFont val="FreeSans"/>
        <family val="2"/>
      </rPr>
      <t xml:space="preserve">סוכנים ✅ </t>
    </r>
    <r>
      <rPr>
        <sz val="10"/>
        <color rgb="FFD0C8BC"/>
        <rFont val="Calibri"/>
        <family val="0"/>
        <charset val="1"/>
      </rPr>
      <t xml:space="preserve">· </t>
    </r>
    <r>
      <rPr>
        <sz val="10"/>
        <color rgb="FFD0C8BC"/>
        <rFont val="FreeSans"/>
        <family val="2"/>
      </rPr>
      <t xml:space="preserve">נותר</t>
    </r>
    <r>
      <rPr>
        <sz val="10"/>
        <color rgb="FFD0C8BC"/>
        <rFont val="Calibri"/>
        <family val="0"/>
        <charset val="1"/>
      </rPr>
      <t xml:space="preserve">: </t>
    </r>
    <r>
      <rPr>
        <sz val="10"/>
        <color rgb="FFD0C8BC"/>
        <rFont val="FreeSans"/>
        <family val="2"/>
      </rPr>
      <t xml:space="preserve">ליטוש </t>
    </r>
    <r>
      <rPr>
        <sz val="10"/>
        <color rgb="FFD0C8BC"/>
        <rFont val="Calibri"/>
        <family val="0"/>
        <charset val="1"/>
      </rPr>
      <t xml:space="preserve">UI, demo-mode, PTT, export/QR, pilot — </t>
    </r>
    <r>
      <rPr>
        <sz val="10"/>
        <color rgb="FFD0C8BC"/>
        <rFont val="FreeSans"/>
        <family val="2"/>
      </rPr>
      <t xml:space="preserve">קריטי</t>
    </r>
  </si>
  <si>
    <t xml:space="preserve">תערוכה / לוגיסטיקה</t>
  </si>
  <si>
    <t xml:space="preserve">החלטות חלל ✅ · נותר: spec, מיפוי, חשמל, Mac mini, פוסטר, הקמה, פירוק</t>
  </si>
  <si>
    <t xml:space="preserve">אבני דרך</t>
  </si>
  <si>
    <t xml:space="preserve">פגישת מנחה · הצגת ביניים · freeze · dry-run · הגשה · פתיחה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</si>
</sst>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&quot; days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44A"/>
      <name val="Calibri"/>
      <family val="0"/>
      <charset val="1"/>
    </font>
    <font>
      <sz val="10"/>
      <color rgb="FF8A8070"/>
      <name val="Calibri"/>
      <family val="0"/>
      <charset val="1"/>
    </font>
    <font>
      <sz val="10"/>
      <color rgb="FF8A8070"/>
      <name val="FreeSans"/>
      <family val="2"/>
    </font>
    <font>
      <b val="true"/>
      <sz val="10"/>
      <color rgb="FFE4DDD0"/>
      <name val="Calibri"/>
      <family val="0"/>
      <charset val="1"/>
    </font>
    <font>
      <b val="true"/>
      <sz val="10"/>
      <color rgb="FFE4DDD0"/>
      <name val="FreeSans"/>
      <family val="2"/>
      <charset val="1"/>
    </font>
    <font>
      <b val="true"/>
      <sz val="11"/>
      <color rgb="FFC8A44A"/>
      <name val="FreeSans"/>
      <family val="2"/>
      <charset val="1"/>
    </font>
    <font>
      <sz val="10"/>
      <color rgb="FFE4DDD0"/>
      <name val="Calibri"/>
      <family val="0"/>
      <charset val="1"/>
    </font>
    <font>
      <sz val="10"/>
      <color rgb="FFE4DDD0"/>
      <name val="FreeSans"/>
      <family val="2"/>
      <charset val="1"/>
    </font>
    <font>
      <b val="true"/>
      <sz val="10"/>
      <color rgb="FF8B5CF6"/>
      <name val="Calibri"/>
      <family val="0"/>
      <charset val="1"/>
    </font>
    <font>
      <b val="true"/>
      <sz val="14"/>
      <color rgb="FFC8A44A"/>
      <name val="Calibri"/>
      <family val="0"/>
      <charset val="1"/>
    </font>
    <font>
      <b val="true"/>
      <sz val="10"/>
      <color rgb="FFC8A44A"/>
      <name val="FreeSans"/>
      <family val="2"/>
      <charset val="1"/>
    </font>
    <font>
      <sz val="10"/>
      <color rgb="FFD0C8BC"/>
      <name val="Calibri"/>
      <family val="0"/>
      <charset val="1"/>
    </font>
    <font>
      <sz val="10"/>
      <color rgb="FFD0C8BC"/>
      <name val="FreeSans"/>
      <family val="2"/>
      <charset val="1"/>
    </font>
    <font>
      <b val="true"/>
      <sz val="10"/>
      <color rgb="FF8B5CF6"/>
      <name val="FreeSans"/>
      <family val="2"/>
      <charset val="1"/>
    </font>
    <font>
      <b val="true"/>
      <sz val="10"/>
      <color rgb="FF2ABFB0"/>
      <name val="FreeSans"/>
      <family val="2"/>
      <charset val="1"/>
    </font>
    <font>
      <sz val="10"/>
      <color rgb="FFD0C8BC"/>
      <name val="FreeSans"/>
      <family val="2"/>
    </font>
    <font>
      <b val="true"/>
      <sz val="10"/>
      <color rgb="FF2DAA6A"/>
      <name val="FreeSans"/>
      <family val="2"/>
      <charset val="1"/>
    </font>
    <font>
      <b val="true"/>
      <sz val="10"/>
      <color rgb="FFF59E0B"/>
      <name val="FreeSans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7091A"/>
        <bgColor rgb="FF0A0F22"/>
      </patternFill>
    </fill>
    <fill>
      <patternFill patternType="solid">
        <fgColor rgb="FF0E1428"/>
        <bgColor rgb="FF0A0F22"/>
      </patternFill>
    </fill>
    <fill>
      <patternFill patternType="solid">
        <fgColor rgb="FF3D2E00"/>
        <bgColor rgb="FF4A3000"/>
      </patternFill>
    </fill>
    <fill>
      <patternFill patternType="solid">
        <fgColor rgb="FF0A0F22"/>
        <bgColor rgb="FF0E1428"/>
      </patternFill>
    </fill>
    <fill>
      <patternFill patternType="solid">
        <fgColor rgb="FF2D1B5E"/>
        <bgColor rgb="FF0E1428"/>
      </patternFill>
    </fill>
    <fill>
      <patternFill patternType="solid">
        <fgColor rgb="FF0D3D38"/>
        <bgColor rgb="FF0D3320"/>
      </patternFill>
    </fill>
    <fill>
      <patternFill patternType="solid">
        <fgColor rgb="FF0D3320"/>
        <bgColor rgb="FF0D3D38"/>
      </patternFill>
    </fill>
    <fill>
      <patternFill patternType="solid">
        <fgColor rgb="FF4A3000"/>
        <bgColor rgb="FF3D2E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F22"/>
      <rgbColor rgb="FF808000"/>
      <rgbColor rgb="FF800080"/>
      <rgbColor rgb="FF008080"/>
      <rgbColor rgb="FFD0C8BC"/>
      <rgbColor rgb="FF8A8070"/>
      <rgbColor rgb="FF9999FF"/>
      <rgbColor rgb="FF993366"/>
      <rgbColor rgb="FFFFFFCC"/>
      <rgbColor rgb="FFCCFFFF"/>
      <rgbColor rgb="FF07091A"/>
      <rgbColor rgb="FFFF8080"/>
      <rgbColor rgb="FF0066CC"/>
      <rgbColor rgb="FFE4DDD0"/>
      <rgbColor rgb="FF0E1428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ABFB0"/>
      <rgbColor rgb="FF99CC00"/>
      <rgbColor rgb="FFFFCC00"/>
      <rgbColor rgb="FFF59E0B"/>
      <rgbColor rgb="FFFF6600"/>
      <rgbColor rgb="FF8B5CF6"/>
      <rgbColor rgb="FFC8A44A"/>
      <rgbColor rgb="FF0D3D38"/>
      <rgbColor rgb="FF2DAA6A"/>
      <rgbColor rgb="FF0D3320"/>
      <rgbColor rgb="FF3D2E00"/>
      <rgbColor rgb="FF993300"/>
      <rgbColor rgb="FF993366"/>
      <rgbColor rgb="FF2D1B5E"/>
      <rgbColor rgb="FF4A3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5" min="4" style="1" width="16"/>
    <col collapsed="false" customWidth="true" hidden="false" outlineLevel="0" max="7" min="6" style="1" width="12"/>
    <col collapsed="false" customWidth="true" hidden="false" outlineLevel="0" max="8" min="8" style="1" width="5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customFormat="false" ht="14.25" hidden="false" customHeight="true" outlineLevel="0" collapsed="false">
      <c r="A5" s="7" t="s">
        <v>10</v>
      </c>
      <c r="B5" s="7"/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8" t="n">
        <v>1</v>
      </c>
      <c r="B6" s="9" t="s">
        <v>11</v>
      </c>
      <c r="C6" s="10" t="s">
        <v>12</v>
      </c>
      <c r="D6" s="11" t="n">
        <v>46127</v>
      </c>
      <c r="E6" s="11" t="n">
        <v>46159</v>
      </c>
      <c r="F6" s="8" t="n">
        <f aca="false">E6-D6+1</f>
        <v>33</v>
      </c>
      <c r="G6" s="12" t="s">
        <v>13</v>
      </c>
      <c r="H6" s="10" t="s">
        <v>14</v>
      </c>
    </row>
    <row r="7" customFormat="false" ht="15" hidden="false" customHeight="true" outlineLevel="0" collapsed="false">
      <c r="A7" s="13" t="n">
        <v>2</v>
      </c>
      <c r="B7" s="14" t="s">
        <v>11</v>
      </c>
      <c r="C7" s="15" t="s">
        <v>15</v>
      </c>
      <c r="D7" s="16" t="n">
        <v>46162</v>
      </c>
      <c r="E7" s="16" t="n">
        <v>46165</v>
      </c>
      <c r="F7" s="13" t="n">
        <f aca="false">E7-D7+1</f>
        <v>4</v>
      </c>
      <c r="G7" s="17" t="s">
        <v>13</v>
      </c>
      <c r="H7" s="15" t="s">
        <v>16</v>
      </c>
    </row>
    <row r="8" customFormat="false" ht="15" hidden="false" customHeight="true" outlineLevel="0" collapsed="false">
      <c r="A8" s="8" t="n">
        <v>3</v>
      </c>
      <c r="B8" s="9" t="s">
        <v>11</v>
      </c>
      <c r="C8" s="10" t="s">
        <v>17</v>
      </c>
      <c r="D8" s="11" t="n">
        <v>46170</v>
      </c>
      <c r="E8" s="11" t="n">
        <v>46173</v>
      </c>
      <c r="F8" s="8" t="n">
        <f aca="false">E8-D8+1</f>
        <v>4</v>
      </c>
      <c r="G8" s="12" t="s">
        <v>18</v>
      </c>
      <c r="H8" s="10" t="s">
        <v>19</v>
      </c>
    </row>
    <row r="9" customFormat="false" ht="15" hidden="false" customHeight="true" outlineLevel="0" collapsed="false">
      <c r="A9" s="13" t="n">
        <v>4</v>
      </c>
      <c r="B9" s="14" t="s">
        <v>11</v>
      </c>
      <c r="C9" s="15" t="s">
        <v>20</v>
      </c>
      <c r="D9" s="16" t="n">
        <v>46176</v>
      </c>
      <c r="E9" s="16" t="n">
        <v>46185</v>
      </c>
      <c r="F9" s="13" t="n">
        <f aca="false">E9-D9+1</f>
        <v>10</v>
      </c>
      <c r="G9" s="17" t="s">
        <v>18</v>
      </c>
      <c r="H9" s="15" t="s">
        <v>21</v>
      </c>
    </row>
    <row r="10" customFormat="false" ht="15" hidden="false" customHeight="true" outlineLevel="0" collapsed="false">
      <c r="A10" s="8" t="n">
        <v>5</v>
      </c>
      <c r="B10" s="9" t="s">
        <v>11</v>
      </c>
      <c r="C10" s="10" t="s">
        <v>22</v>
      </c>
      <c r="D10" s="11" t="n">
        <v>46181</v>
      </c>
      <c r="E10" s="11" t="n">
        <v>46187</v>
      </c>
      <c r="F10" s="8" t="n">
        <f aca="false">E10-D10+1</f>
        <v>7</v>
      </c>
      <c r="G10" s="12" t="s">
        <v>18</v>
      </c>
      <c r="H10" s="10" t="s">
        <v>23</v>
      </c>
    </row>
    <row r="11" customFormat="false" ht="15" hidden="false" customHeight="true" outlineLevel="0" collapsed="false">
      <c r="A11" s="13" t="n">
        <v>6</v>
      </c>
      <c r="B11" s="14" t="s">
        <v>11</v>
      </c>
      <c r="C11" s="15" t="s">
        <v>24</v>
      </c>
      <c r="D11" s="16" t="n">
        <v>46183</v>
      </c>
      <c r="E11" s="16" t="n">
        <v>46195</v>
      </c>
      <c r="F11" s="13" t="n">
        <f aca="false">E11-D11+1</f>
        <v>13</v>
      </c>
      <c r="G11" s="17" t="s">
        <v>25</v>
      </c>
      <c r="H11" s="15" t="s">
        <v>26</v>
      </c>
    </row>
    <row r="12" customFormat="false" ht="15" hidden="false" customHeight="true" outlineLevel="0" collapsed="false">
      <c r="A12" s="8" t="n">
        <v>7</v>
      </c>
      <c r="B12" s="9" t="s">
        <v>11</v>
      </c>
      <c r="C12" s="10" t="s">
        <v>27</v>
      </c>
      <c r="D12" s="11" t="n">
        <v>46188</v>
      </c>
      <c r="E12" s="11" t="n">
        <v>46218</v>
      </c>
      <c r="F12" s="8" t="n">
        <f aca="false">E12-D12+1</f>
        <v>31</v>
      </c>
      <c r="G12" s="12" t="s">
        <v>28</v>
      </c>
      <c r="H12" s="10" t="s">
        <v>29</v>
      </c>
    </row>
    <row r="13" customFormat="false" ht="15" hidden="false" customHeight="true" outlineLevel="0" collapsed="false">
      <c r="A13" s="13" t="n">
        <v>8</v>
      </c>
      <c r="B13" s="14" t="s">
        <v>11</v>
      </c>
      <c r="C13" s="15" t="s">
        <v>30</v>
      </c>
      <c r="D13" s="16" t="n">
        <v>46201</v>
      </c>
      <c r="E13" s="16" t="n">
        <v>46215</v>
      </c>
      <c r="F13" s="13" t="n">
        <f aca="false">E13-D13+1</f>
        <v>15</v>
      </c>
      <c r="G13" s="17" t="s">
        <v>25</v>
      </c>
      <c r="H13" s="15" t="s">
        <v>31</v>
      </c>
    </row>
    <row r="14" customFormat="false" ht="15" hidden="false" customHeight="true" outlineLevel="0" collapsed="false">
      <c r="A14" s="8" t="n">
        <v>9</v>
      </c>
      <c r="B14" s="9" t="s">
        <v>11</v>
      </c>
      <c r="C14" s="10" t="s">
        <v>32</v>
      </c>
      <c r="D14" s="11" t="n">
        <v>46211</v>
      </c>
      <c r="E14" s="11" t="n">
        <v>46221</v>
      </c>
      <c r="F14" s="8" t="n">
        <f aca="false">E14-D14+1</f>
        <v>11</v>
      </c>
      <c r="G14" s="12" t="s">
        <v>13</v>
      </c>
      <c r="H14" s="10" t="s">
        <v>33</v>
      </c>
    </row>
    <row r="15" customFormat="false" ht="15" hidden="false" customHeight="true" outlineLevel="0" collapsed="false">
      <c r="A15" s="13" t="n">
        <v>10</v>
      </c>
      <c r="B15" s="14" t="s">
        <v>11</v>
      </c>
      <c r="C15" s="15" t="s">
        <v>34</v>
      </c>
      <c r="D15" s="16" t="n">
        <v>46218</v>
      </c>
      <c r="E15" s="16" t="n">
        <v>46223</v>
      </c>
      <c r="F15" s="13" t="n">
        <f aca="false">E15-D15+1</f>
        <v>6</v>
      </c>
      <c r="G15" s="17" t="s">
        <v>13</v>
      </c>
      <c r="H15" s="15" t="s">
        <v>35</v>
      </c>
    </row>
    <row r="16" customFormat="false" ht="15" hidden="false" customHeight="true" outlineLevel="0" collapsed="false">
      <c r="A16" s="8" t="n">
        <v>11</v>
      </c>
      <c r="B16" s="9" t="s">
        <v>11</v>
      </c>
      <c r="C16" s="10" t="s">
        <v>36</v>
      </c>
      <c r="D16" s="11" t="n">
        <v>46223</v>
      </c>
      <c r="E16" s="11" t="n">
        <v>46229</v>
      </c>
      <c r="F16" s="8" t="n">
        <f aca="false">E16-D16+1</f>
        <v>7</v>
      </c>
      <c r="G16" s="12" t="s">
        <v>25</v>
      </c>
      <c r="H16" s="10" t="s">
        <v>37</v>
      </c>
    </row>
    <row r="17" customFormat="false" ht="15" hidden="false" customHeight="true" outlineLevel="0" collapsed="false">
      <c r="A17" s="13" t="n">
        <v>12</v>
      </c>
      <c r="B17" s="14" t="s">
        <v>11</v>
      </c>
      <c r="C17" s="15" t="s">
        <v>38</v>
      </c>
      <c r="D17" s="16" t="n">
        <v>46231</v>
      </c>
      <c r="E17" s="16" t="n">
        <v>46236</v>
      </c>
      <c r="F17" s="13" t="n">
        <f aca="false">E17-D17+1</f>
        <v>6</v>
      </c>
      <c r="G17" s="17" t="s">
        <v>39</v>
      </c>
      <c r="H17" s="15" t="s">
        <v>40</v>
      </c>
    </row>
    <row r="18" customFormat="false" ht="14.25" hidden="false" customHeight="true" outlineLevel="0" collapsed="false">
      <c r="A18" s="7" t="s">
        <v>41</v>
      </c>
      <c r="B18" s="7"/>
      <c r="C18" s="7"/>
      <c r="D18" s="7"/>
      <c r="E18" s="7"/>
      <c r="F18" s="7"/>
      <c r="G18" s="7"/>
      <c r="H18" s="7"/>
    </row>
    <row r="19" customFormat="false" ht="15" hidden="false" customHeight="true" outlineLevel="0" collapsed="false">
      <c r="A19" s="13" t="n">
        <v>13</v>
      </c>
      <c r="B19" s="14" t="s">
        <v>42</v>
      </c>
      <c r="C19" s="15" t="s">
        <v>43</v>
      </c>
      <c r="D19" s="16" t="n">
        <v>46160</v>
      </c>
      <c r="E19" s="16" t="n">
        <v>46165</v>
      </c>
      <c r="F19" s="13" t="n">
        <f aca="false">E19-D19+1</f>
        <v>6</v>
      </c>
      <c r="G19" s="17" t="s">
        <v>18</v>
      </c>
      <c r="H19" s="15" t="s">
        <v>44</v>
      </c>
    </row>
    <row r="20" customFormat="false" ht="15" hidden="false" customHeight="true" outlineLevel="0" collapsed="false">
      <c r="A20" s="8" t="n">
        <v>14</v>
      </c>
      <c r="B20" s="9" t="s">
        <v>42</v>
      </c>
      <c r="C20" s="10" t="s">
        <v>45</v>
      </c>
      <c r="D20" s="11" t="n">
        <v>46171</v>
      </c>
      <c r="E20" s="11" t="n">
        <v>46171</v>
      </c>
      <c r="F20" s="8" t="n">
        <f aca="false">E20-D20+1</f>
        <v>1</v>
      </c>
      <c r="G20" s="12" t="s">
        <v>18</v>
      </c>
      <c r="H20" s="10" t="s">
        <v>46</v>
      </c>
    </row>
    <row r="21" customFormat="false" ht="15" hidden="false" customHeight="true" outlineLevel="0" collapsed="false">
      <c r="A21" s="13" t="n">
        <v>15</v>
      </c>
      <c r="B21" s="14" t="s">
        <v>42</v>
      </c>
      <c r="C21" s="15" t="s">
        <v>47</v>
      </c>
      <c r="D21" s="16" t="n">
        <v>46176</v>
      </c>
      <c r="E21" s="16" t="n">
        <v>46185</v>
      </c>
      <c r="F21" s="13" t="n">
        <f aca="false">E21-D21+1</f>
        <v>10</v>
      </c>
      <c r="G21" s="17" t="s">
        <v>18</v>
      </c>
      <c r="H21" s="15" t="s">
        <v>48</v>
      </c>
    </row>
    <row r="22" customFormat="false" ht="15" hidden="false" customHeight="true" outlineLevel="0" collapsed="false">
      <c r="A22" s="8" t="n">
        <v>16</v>
      </c>
      <c r="B22" s="9" t="s">
        <v>42</v>
      </c>
      <c r="C22" s="10" t="s">
        <v>49</v>
      </c>
      <c r="D22" s="11" t="n">
        <v>46177</v>
      </c>
      <c r="E22" s="11" t="n">
        <v>46179</v>
      </c>
      <c r="F22" s="8" t="n">
        <f aca="false">E22-D22+1</f>
        <v>3</v>
      </c>
      <c r="G22" s="12" t="s">
        <v>50</v>
      </c>
      <c r="H22" s="10" t="s">
        <v>51</v>
      </c>
    </row>
    <row r="23" customFormat="false" ht="15" hidden="false" customHeight="true" outlineLevel="0" collapsed="false">
      <c r="A23" s="13" t="n">
        <v>17</v>
      </c>
      <c r="B23" s="14" t="s">
        <v>42</v>
      </c>
      <c r="C23" s="15" t="s">
        <v>52</v>
      </c>
      <c r="D23" s="16" t="n">
        <v>46183</v>
      </c>
      <c r="E23" s="16" t="n">
        <v>46187</v>
      </c>
      <c r="F23" s="13" t="n">
        <f aca="false">E23-D23+1</f>
        <v>5</v>
      </c>
      <c r="G23" s="17" t="s">
        <v>53</v>
      </c>
      <c r="H23" s="15" t="s">
        <v>54</v>
      </c>
    </row>
    <row r="24" customFormat="false" ht="15" hidden="false" customHeight="true" outlineLevel="0" collapsed="false">
      <c r="A24" s="8" t="n">
        <v>18</v>
      </c>
      <c r="B24" s="9" t="s">
        <v>42</v>
      </c>
      <c r="C24" s="10" t="s">
        <v>55</v>
      </c>
      <c r="D24" s="11" t="n">
        <v>46185</v>
      </c>
      <c r="E24" s="11" t="n">
        <v>46191</v>
      </c>
      <c r="F24" s="8" t="n">
        <f aca="false">E24-D24+1</f>
        <v>7</v>
      </c>
      <c r="G24" s="12" t="s">
        <v>53</v>
      </c>
      <c r="H24" s="10" t="s">
        <v>56</v>
      </c>
    </row>
    <row r="25" customFormat="false" ht="15" hidden="false" customHeight="true" outlineLevel="0" collapsed="false">
      <c r="A25" s="13" t="n">
        <v>19</v>
      </c>
      <c r="B25" s="14" t="s">
        <v>42</v>
      </c>
      <c r="C25" s="15" t="s">
        <v>57</v>
      </c>
      <c r="D25" s="16" t="n">
        <v>46201</v>
      </c>
      <c r="E25" s="16" t="n">
        <v>46213</v>
      </c>
      <c r="F25" s="13" t="n">
        <f aca="false">E25-D25+1</f>
        <v>13</v>
      </c>
      <c r="G25" s="17" t="s">
        <v>18</v>
      </c>
      <c r="H25" s="15" t="s">
        <v>58</v>
      </c>
    </row>
    <row r="26" customFormat="false" ht="15" hidden="false" customHeight="true" outlineLevel="0" collapsed="false">
      <c r="A26" s="8" t="n">
        <v>20</v>
      </c>
      <c r="B26" s="9" t="s">
        <v>42</v>
      </c>
      <c r="C26" s="10" t="s">
        <v>59</v>
      </c>
      <c r="D26" s="11" t="n">
        <v>46215</v>
      </c>
      <c r="E26" s="11" t="n">
        <v>46221</v>
      </c>
      <c r="F26" s="8" t="n">
        <f aca="false">E26-D26+1</f>
        <v>7</v>
      </c>
      <c r="G26" s="12" t="s">
        <v>60</v>
      </c>
      <c r="H26" s="10"/>
    </row>
    <row r="27" customFormat="false" ht="15" hidden="false" customHeight="true" outlineLevel="0" collapsed="false">
      <c r="A27" s="13" t="n">
        <v>21</v>
      </c>
      <c r="B27" s="14" t="s">
        <v>42</v>
      </c>
      <c r="C27" s="15" t="s">
        <v>61</v>
      </c>
      <c r="D27" s="16" t="n">
        <v>46221</v>
      </c>
      <c r="E27" s="16" t="n">
        <v>46223</v>
      </c>
      <c r="F27" s="13" t="n">
        <f aca="false">E27-D27+1</f>
        <v>3</v>
      </c>
      <c r="G27" s="17" t="s">
        <v>53</v>
      </c>
      <c r="H27" s="15" t="s">
        <v>62</v>
      </c>
    </row>
    <row r="28" customFormat="false" ht="15" hidden="false" customHeight="true" outlineLevel="0" collapsed="false">
      <c r="A28" s="8" t="n">
        <v>22</v>
      </c>
      <c r="B28" s="9" t="s">
        <v>42</v>
      </c>
      <c r="C28" s="10" t="s">
        <v>63</v>
      </c>
      <c r="D28" s="11" t="n">
        <v>46223</v>
      </c>
      <c r="E28" s="11" t="n">
        <v>46227</v>
      </c>
      <c r="F28" s="8" t="n">
        <f aca="false">E28-D28+1</f>
        <v>5</v>
      </c>
      <c r="G28" s="12" t="s">
        <v>18</v>
      </c>
      <c r="H28" s="10" t="s">
        <v>64</v>
      </c>
    </row>
    <row r="29" customFormat="false" ht="14.25" hidden="false" customHeight="true" outlineLevel="0" collapsed="false">
      <c r="A29" s="7" t="s">
        <v>65</v>
      </c>
      <c r="B29" s="7"/>
      <c r="C29" s="7"/>
      <c r="D29" s="7"/>
      <c r="E29" s="7"/>
      <c r="F29" s="7"/>
      <c r="G29" s="7"/>
      <c r="H29" s="7"/>
    </row>
    <row r="30" customFormat="false" ht="15" hidden="false" customHeight="true" outlineLevel="0" collapsed="false">
      <c r="A30" s="8" t="n">
        <v>23</v>
      </c>
      <c r="B30" s="9" t="s">
        <v>66</v>
      </c>
      <c r="C30" s="10" t="s">
        <v>67</v>
      </c>
      <c r="D30" s="11" t="n">
        <v>46143</v>
      </c>
      <c r="E30" s="11" t="n">
        <v>46170</v>
      </c>
      <c r="F30" s="8" t="n">
        <f aca="false">E30-D30+1</f>
        <v>28</v>
      </c>
      <c r="G30" s="12" t="s">
        <v>53</v>
      </c>
      <c r="H30" s="10" t="s">
        <v>68</v>
      </c>
    </row>
    <row r="31" customFormat="false" ht="15" hidden="false" customHeight="true" outlineLevel="0" collapsed="false">
      <c r="A31" s="13" t="n">
        <v>24</v>
      </c>
      <c r="B31" s="14" t="s">
        <v>66</v>
      </c>
      <c r="C31" s="15" t="s">
        <v>69</v>
      </c>
      <c r="D31" s="16" t="n">
        <v>46143</v>
      </c>
      <c r="E31" s="16" t="n">
        <v>46170</v>
      </c>
      <c r="F31" s="13" t="n">
        <f aca="false">E31-D31+1</f>
        <v>28</v>
      </c>
      <c r="G31" s="17" t="s">
        <v>70</v>
      </c>
      <c r="H31" s="15"/>
    </row>
    <row r="32" customFormat="false" ht="15" hidden="false" customHeight="true" outlineLevel="0" collapsed="false">
      <c r="A32" s="8" t="n">
        <v>25</v>
      </c>
      <c r="B32" s="9" t="s">
        <v>66</v>
      </c>
      <c r="C32" s="10" t="s">
        <v>71</v>
      </c>
      <c r="D32" s="11" t="n">
        <v>46171</v>
      </c>
      <c r="E32" s="11" t="n">
        <v>46171</v>
      </c>
      <c r="F32" s="8" t="n">
        <f aca="false">E32-D32+1</f>
        <v>1</v>
      </c>
      <c r="G32" s="12" t="s">
        <v>53</v>
      </c>
      <c r="H32" s="10" t="s">
        <v>72</v>
      </c>
    </row>
    <row r="33" customFormat="false" ht="15" hidden="false" customHeight="true" outlineLevel="0" collapsed="false">
      <c r="A33" s="13" t="n">
        <v>26</v>
      </c>
      <c r="B33" s="14" t="s">
        <v>66</v>
      </c>
      <c r="C33" s="15" t="s">
        <v>73</v>
      </c>
      <c r="D33" s="16" t="n">
        <v>46176</v>
      </c>
      <c r="E33" s="16" t="n">
        <v>46207</v>
      </c>
      <c r="F33" s="13" t="n">
        <f aca="false">E33-D33+1</f>
        <v>32</v>
      </c>
      <c r="G33" s="17" t="s">
        <v>18</v>
      </c>
      <c r="H33" s="15" t="s">
        <v>74</v>
      </c>
    </row>
    <row r="34" customFormat="false" ht="15" hidden="false" customHeight="true" outlineLevel="0" collapsed="false">
      <c r="A34" s="8" t="n">
        <v>27</v>
      </c>
      <c r="B34" s="9" t="s">
        <v>66</v>
      </c>
      <c r="C34" s="10" t="s">
        <v>75</v>
      </c>
      <c r="D34" s="11" t="n">
        <v>46181</v>
      </c>
      <c r="E34" s="11" t="n">
        <v>46191</v>
      </c>
      <c r="F34" s="8" t="n">
        <f aca="false">E34-D34+1</f>
        <v>11</v>
      </c>
      <c r="G34" s="12" t="s">
        <v>53</v>
      </c>
      <c r="H34" s="10" t="s">
        <v>76</v>
      </c>
    </row>
    <row r="35" customFormat="false" ht="15" hidden="false" customHeight="true" outlineLevel="0" collapsed="false">
      <c r="A35" s="13" t="n">
        <v>28</v>
      </c>
      <c r="B35" s="14" t="s">
        <v>66</v>
      </c>
      <c r="C35" s="15" t="s">
        <v>77</v>
      </c>
      <c r="D35" s="16" t="n">
        <v>46183</v>
      </c>
      <c r="E35" s="16" t="n">
        <v>46189</v>
      </c>
      <c r="F35" s="13" t="n">
        <f aca="false">E35-D35+1</f>
        <v>7</v>
      </c>
      <c r="G35" s="17" t="s">
        <v>53</v>
      </c>
      <c r="H35" s="15" t="s">
        <v>78</v>
      </c>
    </row>
    <row r="36" customFormat="false" ht="15" hidden="false" customHeight="true" outlineLevel="0" collapsed="false">
      <c r="A36" s="8" t="n">
        <v>29</v>
      </c>
      <c r="B36" s="9" t="s">
        <v>66</v>
      </c>
      <c r="C36" s="10" t="s">
        <v>79</v>
      </c>
      <c r="D36" s="11" t="n">
        <v>46188</v>
      </c>
      <c r="E36" s="11" t="n">
        <v>46198</v>
      </c>
      <c r="F36" s="8" t="n">
        <f aca="false">E36-D36+1</f>
        <v>11</v>
      </c>
      <c r="G36" s="12" t="s">
        <v>25</v>
      </c>
      <c r="H36" s="10" t="s">
        <v>80</v>
      </c>
    </row>
    <row r="37" customFormat="false" ht="15" hidden="false" customHeight="true" outlineLevel="0" collapsed="false">
      <c r="A37" s="13" t="n">
        <v>30</v>
      </c>
      <c r="B37" s="14" t="s">
        <v>66</v>
      </c>
      <c r="C37" s="15" t="s">
        <v>81</v>
      </c>
      <c r="D37" s="16" t="n">
        <v>46193</v>
      </c>
      <c r="E37" s="16" t="n">
        <v>46208</v>
      </c>
      <c r="F37" s="13" t="n">
        <f aca="false">E37-D37+1</f>
        <v>16</v>
      </c>
      <c r="G37" s="17" t="s">
        <v>25</v>
      </c>
      <c r="H37" s="15" t="s">
        <v>82</v>
      </c>
    </row>
    <row r="38" customFormat="false" ht="15" hidden="false" customHeight="true" outlineLevel="0" collapsed="false">
      <c r="A38" s="8" t="n">
        <v>31</v>
      </c>
      <c r="B38" s="9" t="s">
        <v>66</v>
      </c>
      <c r="C38" s="10" t="s">
        <v>83</v>
      </c>
      <c r="D38" s="11" t="n">
        <v>46204</v>
      </c>
      <c r="E38" s="11" t="n">
        <v>46215</v>
      </c>
      <c r="F38" s="8" t="n">
        <f aca="false">E38-D38+1</f>
        <v>12</v>
      </c>
      <c r="G38" s="12" t="s">
        <v>28</v>
      </c>
      <c r="H38" s="10" t="s">
        <v>84</v>
      </c>
    </row>
    <row r="39" customFormat="false" ht="15" hidden="false" customHeight="true" outlineLevel="0" collapsed="false">
      <c r="A39" s="13" t="n">
        <v>32</v>
      </c>
      <c r="B39" s="14" t="s">
        <v>66</v>
      </c>
      <c r="C39" s="15" t="s">
        <v>85</v>
      </c>
      <c r="D39" s="16" t="n">
        <v>46188</v>
      </c>
      <c r="E39" s="16" t="n">
        <v>46196</v>
      </c>
      <c r="F39" s="13" t="n">
        <f aca="false">E39-D39+1</f>
        <v>9</v>
      </c>
      <c r="G39" s="17" t="s">
        <v>53</v>
      </c>
      <c r="H39" s="15" t="s">
        <v>86</v>
      </c>
    </row>
    <row r="40" customFormat="false" ht="15" hidden="false" customHeight="true" outlineLevel="0" collapsed="false">
      <c r="A40" s="8" t="n">
        <v>33</v>
      </c>
      <c r="B40" s="9" t="s">
        <v>66</v>
      </c>
      <c r="C40" s="10" t="s">
        <v>87</v>
      </c>
      <c r="D40" s="11" t="n">
        <v>46208</v>
      </c>
      <c r="E40" s="11" t="n">
        <v>46213</v>
      </c>
      <c r="F40" s="8" t="n">
        <f aca="false">E40-D40+1</f>
        <v>6</v>
      </c>
      <c r="G40" s="12" t="s">
        <v>25</v>
      </c>
      <c r="H40" s="10"/>
    </row>
    <row r="41" customFormat="false" ht="15" hidden="false" customHeight="true" outlineLevel="0" collapsed="false">
      <c r="A41" s="13" t="n">
        <v>34</v>
      </c>
      <c r="B41" s="14" t="s">
        <v>66</v>
      </c>
      <c r="C41" s="15" t="s">
        <v>88</v>
      </c>
      <c r="D41" s="16" t="n">
        <v>46211</v>
      </c>
      <c r="E41" s="16" t="n">
        <v>46218</v>
      </c>
      <c r="F41" s="13" t="n">
        <f aca="false">E41-D41+1</f>
        <v>8</v>
      </c>
      <c r="G41" s="17" t="s">
        <v>53</v>
      </c>
      <c r="H41" s="15" t="s">
        <v>89</v>
      </c>
    </row>
    <row r="42" customFormat="false" ht="15" hidden="false" customHeight="true" outlineLevel="0" collapsed="false">
      <c r="A42" s="8" t="n">
        <v>35</v>
      </c>
      <c r="B42" s="9" t="s">
        <v>66</v>
      </c>
      <c r="C42" s="10" t="s">
        <v>90</v>
      </c>
      <c r="D42" s="11" t="n">
        <v>46216</v>
      </c>
      <c r="E42" s="11" t="n">
        <v>46225</v>
      </c>
      <c r="F42" s="8" t="n">
        <f aca="false">E42-D42+1</f>
        <v>10</v>
      </c>
      <c r="G42" s="12" t="s">
        <v>60</v>
      </c>
      <c r="H42" s="10"/>
    </row>
    <row r="43" customFormat="false" ht="14.25" hidden="false" customHeight="true" outlineLevel="0" collapsed="false">
      <c r="A43" s="13" t="n">
        <v>36</v>
      </c>
      <c r="B43" s="14" t="s">
        <v>66</v>
      </c>
      <c r="C43" s="15" t="s">
        <v>91</v>
      </c>
      <c r="D43" s="16" t="n">
        <v>46225</v>
      </c>
      <c r="E43" s="16" t="n">
        <v>46231</v>
      </c>
      <c r="F43" s="13" t="n">
        <f aca="false">E43-D43+1</f>
        <v>7</v>
      </c>
      <c r="G43" s="17" t="s">
        <v>25</v>
      </c>
      <c r="H43" s="15" t="s">
        <v>92</v>
      </c>
    </row>
    <row r="44" customFormat="false" ht="15" hidden="false" customHeight="true" outlineLevel="0" collapsed="false">
      <c r="A44" s="8" t="n">
        <v>37</v>
      </c>
      <c r="B44" s="9" t="s">
        <v>66</v>
      </c>
      <c r="C44" s="10" t="s">
        <v>93</v>
      </c>
      <c r="D44" s="11" t="n">
        <v>46198</v>
      </c>
      <c r="E44" s="11" t="n">
        <v>46211</v>
      </c>
      <c r="F44" s="8"/>
      <c r="G44" s="12" t="s">
        <v>53</v>
      </c>
      <c r="H44" s="10" t="s">
        <v>94</v>
      </c>
    </row>
    <row r="45" customFormat="false" ht="15" hidden="false" customHeight="true" outlineLevel="0" collapsed="false">
      <c r="A45" s="13" t="n">
        <v>38</v>
      </c>
      <c r="B45" s="14" t="s">
        <v>66</v>
      </c>
      <c r="C45" s="15" t="s">
        <v>95</v>
      </c>
      <c r="D45" s="16" t="n">
        <v>46209</v>
      </c>
      <c r="E45" s="16" t="n">
        <v>46215</v>
      </c>
      <c r="F45" s="13"/>
      <c r="G45" s="17" t="s">
        <v>60</v>
      </c>
      <c r="H45" s="15" t="s">
        <v>96</v>
      </c>
    </row>
    <row r="46" customFormat="false" ht="15" hidden="false" customHeight="true" outlineLevel="0" collapsed="false">
      <c r="A46" s="7" t="s">
        <v>97</v>
      </c>
      <c r="B46" s="7"/>
      <c r="C46" s="7"/>
      <c r="D46" s="7"/>
      <c r="E46" s="7"/>
      <c r="F46" s="7"/>
      <c r="G46" s="7"/>
      <c r="H46" s="7"/>
    </row>
    <row r="47" customFormat="false" ht="15" hidden="false" customHeight="true" outlineLevel="0" collapsed="false">
      <c r="A47" s="13" t="n">
        <v>39</v>
      </c>
      <c r="B47" s="14" t="s">
        <v>98</v>
      </c>
      <c r="C47" s="15" t="s">
        <v>99</v>
      </c>
      <c r="D47" s="16" t="n">
        <v>46171</v>
      </c>
      <c r="E47" s="16" t="n">
        <v>46171</v>
      </c>
      <c r="F47" s="13" t="n">
        <f aca="false">E45-D45+1</f>
        <v>7</v>
      </c>
      <c r="G47" s="17" t="s">
        <v>25</v>
      </c>
      <c r="H47" s="15" t="s">
        <v>100</v>
      </c>
    </row>
    <row r="48" customFormat="false" ht="15" hidden="false" customHeight="true" outlineLevel="0" collapsed="false">
      <c r="A48" s="8" t="n">
        <v>40</v>
      </c>
      <c r="B48" s="9" t="s">
        <v>98</v>
      </c>
      <c r="C48" s="10" t="s">
        <v>101</v>
      </c>
      <c r="D48" s="11" t="n">
        <v>46174</v>
      </c>
      <c r="E48" s="11" t="n">
        <v>46183</v>
      </c>
      <c r="F48" s="8" t="n">
        <f aca="false">E46-D46+1</f>
        <v>1</v>
      </c>
      <c r="G48" s="12" t="s">
        <v>25</v>
      </c>
      <c r="H48" s="10" t="s">
        <v>102</v>
      </c>
    </row>
    <row r="49" customFormat="false" ht="15" hidden="false" customHeight="true" outlineLevel="0" collapsed="false">
      <c r="A49" s="13" t="n">
        <v>41</v>
      </c>
      <c r="B49" s="14" t="s">
        <v>98</v>
      </c>
      <c r="C49" s="15" t="s">
        <v>103</v>
      </c>
      <c r="D49" s="16" t="n">
        <v>46176</v>
      </c>
      <c r="E49" s="16" t="n">
        <v>46183</v>
      </c>
      <c r="F49" s="13" t="n">
        <f aca="false">E47-D47+1</f>
        <v>1</v>
      </c>
      <c r="G49" s="17" t="s">
        <v>104</v>
      </c>
      <c r="H49" s="15" t="s">
        <v>105</v>
      </c>
    </row>
    <row r="50" customFormat="false" ht="15" hidden="false" customHeight="true" outlineLevel="0" collapsed="false">
      <c r="A50" s="8" t="n">
        <v>42</v>
      </c>
      <c r="B50" s="9" t="s">
        <v>98</v>
      </c>
      <c r="C50" s="10" t="s">
        <v>106</v>
      </c>
      <c r="D50" s="11" t="n">
        <v>46185</v>
      </c>
      <c r="E50" s="11" t="n">
        <v>46193</v>
      </c>
      <c r="F50" s="8"/>
      <c r="G50" s="12" t="s">
        <v>104</v>
      </c>
      <c r="H50" s="10" t="s">
        <v>107</v>
      </c>
    </row>
    <row r="51" customFormat="false" ht="15" hidden="false" customHeight="true" outlineLevel="0" collapsed="false">
      <c r="A51" s="13" t="n">
        <v>43</v>
      </c>
      <c r="B51" s="14" t="s">
        <v>98</v>
      </c>
      <c r="C51" s="15" t="s">
        <v>108</v>
      </c>
      <c r="D51" s="16" t="n">
        <v>46185</v>
      </c>
      <c r="E51" s="16" t="n">
        <v>46185</v>
      </c>
      <c r="F51" s="13" t="n">
        <f aca="false">E48-D48+1</f>
        <v>10</v>
      </c>
      <c r="G51" s="17" t="s">
        <v>104</v>
      </c>
      <c r="H51" s="15" t="s">
        <v>109</v>
      </c>
    </row>
    <row r="52" customFormat="false" ht="15" hidden="false" customHeight="true" outlineLevel="0" collapsed="false">
      <c r="A52" s="8" t="n">
        <v>44</v>
      </c>
      <c r="B52" s="9" t="s">
        <v>98</v>
      </c>
      <c r="C52" s="10" t="s">
        <v>110</v>
      </c>
      <c r="D52" s="11" t="n">
        <v>46195</v>
      </c>
      <c r="E52" s="11" t="n">
        <v>46201</v>
      </c>
      <c r="F52" s="8" t="n">
        <f aca="false">E49-D49+1</f>
        <v>8</v>
      </c>
      <c r="G52" s="12" t="s">
        <v>25</v>
      </c>
      <c r="H52" s="10" t="s">
        <v>111</v>
      </c>
    </row>
    <row r="53" customFormat="false" ht="15" hidden="false" customHeight="true" outlineLevel="0" collapsed="false">
      <c r="A53" s="13" t="n">
        <v>45</v>
      </c>
      <c r="B53" s="14" t="s">
        <v>98</v>
      </c>
      <c r="C53" s="15" t="s">
        <v>112</v>
      </c>
      <c r="D53" s="16" t="n">
        <v>46209</v>
      </c>
      <c r="E53" s="16" t="n">
        <v>46215</v>
      </c>
      <c r="F53" s="13" t="n">
        <f aca="false">E50-D50+1</f>
        <v>9</v>
      </c>
      <c r="G53" s="17" t="s">
        <v>25</v>
      </c>
      <c r="H53" s="15" t="s">
        <v>113</v>
      </c>
    </row>
    <row r="54" customFormat="false" ht="15" hidden="false" customHeight="true" outlineLevel="0" collapsed="false">
      <c r="A54" s="8" t="n">
        <v>46</v>
      </c>
      <c r="B54" s="9" t="s">
        <v>98</v>
      </c>
      <c r="C54" s="10" t="s">
        <v>114</v>
      </c>
      <c r="D54" s="11" t="n">
        <v>46204</v>
      </c>
      <c r="E54" s="11" t="n">
        <v>46213</v>
      </c>
      <c r="F54" s="8" t="n">
        <f aca="false">E51-D51+1</f>
        <v>1</v>
      </c>
      <c r="G54" s="12" t="s">
        <v>18</v>
      </c>
      <c r="H54" s="10"/>
    </row>
    <row r="55" customFormat="false" ht="15" hidden="false" customHeight="true" outlineLevel="0" collapsed="false">
      <c r="A55" s="13" t="n">
        <v>47</v>
      </c>
      <c r="B55" s="14" t="s">
        <v>98</v>
      </c>
      <c r="C55" s="15" t="s">
        <v>115</v>
      </c>
      <c r="D55" s="16" t="n">
        <v>46216</v>
      </c>
      <c r="E55" s="16" t="n">
        <v>46219</v>
      </c>
      <c r="F55" s="13" t="n">
        <f aca="false">E52-D52+1</f>
        <v>7</v>
      </c>
      <c r="G55" s="17" t="s">
        <v>18</v>
      </c>
      <c r="H55" s="15" t="s">
        <v>116</v>
      </c>
    </row>
    <row r="56" customFormat="false" ht="15" hidden="false" customHeight="true" outlineLevel="0" collapsed="false">
      <c r="A56" s="8" t="n">
        <v>48</v>
      </c>
      <c r="B56" s="9" t="s">
        <v>98</v>
      </c>
      <c r="C56" s="10" t="s">
        <v>117</v>
      </c>
      <c r="D56" s="11" t="n">
        <v>46223</v>
      </c>
      <c r="E56" s="11" t="n">
        <v>46229</v>
      </c>
      <c r="F56" s="8" t="n">
        <f aca="false">E53-D53+1</f>
        <v>7</v>
      </c>
      <c r="G56" s="12" t="s">
        <v>39</v>
      </c>
      <c r="H56" s="10"/>
    </row>
    <row r="57" customFormat="false" ht="14.25" hidden="false" customHeight="true" outlineLevel="0" collapsed="false">
      <c r="A57" s="13" t="n">
        <v>49</v>
      </c>
      <c r="B57" s="14" t="s">
        <v>98</v>
      </c>
      <c r="C57" s="15" t="s">
        <v>118</v>
      </c>
      <c r="D57" s="16" t="n">
        <v>46231</v>
      </c>
      <c r="E57" s="16" t="n">
        <v>46237</v>
      </c>
      <c r="F57" s="13" t="n">
        <f aca="false">E54-D54+1</f>
        <v>10</v>
      </c>
      <c r="G57" s="17" t="s">
        <v>104</v>
      </c>
      <c r="H57" s="15" t="s">
        <v>119</v>
      </c>
    </row>
    <row r="58" customFormat="false" ht="15" hidden="false" customHeight="true" outlineLevel="0" collapsed="false">
      <c r="A58" s="8" t="n">
        <v>50</v>
      </c>
      <c r="B58" s="9" t="s">
        <v>98</v>
      </c>
      <c r="C58" s="10" t="s">
        <v>120</v>
      </c>
      <c r="D58" s="11" t="n">
        <v>46239</v>
      </c>
      <c r="E58" s="11" t="n">
        <v>46239</v>
      </c>
      <c r="F58" s="8" t="n">
        <f aca="false">E55-D55+1</f>
        <v>4</v>
      </c>
      <c r="G58" s="12" t="s">
        <v>121</v>
      </c>
      <c r="H58" s="10" t="s">
        <v>122</v>
      </c>
    </row>
    <row r="59" customFormat="false" ht="15" hidden="false" customHeight="true" outlineLevel="0" collapsed="false">
      <c r="A59" s="13" t="n">
        <v>51</v>
      </c>
      <c r="B59" s="14" t="s">
        <v>98</v>
      </c>
      <c r="C59" s="15" t="s">
        <v>123</v>
      </c>
      <c r="D59" s="16" t="n">
        <v>46240</v>
      </c>
      <c r="E59" s="16" t="n">
        <v>46253</v>
      </c>
      <c r="F59" s="13" t="n">
        <f aca="false">E56-D56+1</f>
        <v>7</v>
      </c>
      <c r="G59" s="17" t="s">
        <v>124</v>
      </c>
      <c r="H59" s="15" t="s">
        <v>125</v>
      </c>
    </row>
    <row r="60" customFormat="false" ht="15" hidden="false" customHeight="true" outlineLevel="0" collapsed="false">
      <c r="A60" s="8" t="n">
        <v>52</v>
      </c>
      <c r="B60" s="9" t="s">
        <v>98</v>
      </c>
      <c r="C60" s="10" t="s">
        <v>126</v>
      </c>
      <c r="D60" s="11" t="n">
        <v>46254</v>
      </c>
      <c r="E60" s="11" t="n">
        <v>46254</v>
      </c>
      <c r="F60" s="8" t="n">
        <f aca="false">E57-D57+1</f>
        <v>7</v>
      </c>
      <c r="G60" s="12" t="s">
        <v>127</v>
      </c>
      <c r="H60" s="10"/>
    </row>
    <row r="61" customFormat="false" ht="15" hidden="false" customHeight="true" outlineLevel="0" collapsed="false">
      <c r="A61" s="7" t="s">
        <v>128</v>
      </c>
      <c r="B61" s="7"/>
      <c r="C61" s="7"/>
      <c r="D61" s="7"/>
      <c r="E61" s="7"/>
      <c r="F61" s="7"/>
      <c r="G61" s="7"/>
      <c r="H61" s="7"/>
    </row>
    <row r="62" customFormat="false" ht="15" hidden="false" customHeight="true" outlineLevel="0" collapsed="false">
      <c r="A62" s="8" t="n">
        <v>53</v>
      </c>
      <c r="B62" s="9" t="s">
        <v>129</v>
      </c>
      <c r="C62" s="10" t="s">
        <v>130</v>
      </c>
      <c r="D62" s="11" t="n">
        <v>46175</v>
      </c>
      <c r="E62" s="11" t="n">
        <v>46175</v>
      </c>
      <c r="F62" s="8" t="n">
        <f aca="false">E59-D59+1</f>
        <v>14</v>
      </c>
      <c r="G62" s="12" t="s">
        <v>25</v>
      </c>
      <c r="H62" s="10" t="s">
        <v>131</v>
      </c>
    </row>
    <row r="63" customFormat="false" ht="15" hidden="false" customHeight="true" outlineLevel="0" collapsed="false">
      <c r="A63" s="13" t="n">
        <v>54</v>
      </c>
      <c r="B63" s="14" t="s">
        <v>129</v>
      </c>
      <c r="C63" s="15" t="s">
        <v>132</v>
      </c>
      <c r="D63" s="16" t="n">
        <v>46187</v>
      </c>
      <c r="E63" s="16" t="n">
        <v>46187</v>
      </c>
      <c r="F63" s="13" t="n">
        <f aca="false">E60-D60+1</f>
        <v>1</v>
      </c>
      <c r="G63" s="17" t="s">
        <v>25</v>
      </c>
      <c r="H63" s="15" t="s">
        <v>133</v>
      </c>
    </row>
    <row r="64" customFormat="false" ht="15" hidden="false" customHeight="true" outlineLevel="0" collapsed="false">
      <c r="A64" s="8" t="n">
        <v>55</v>
      </c>
      <c r="B64" s="9" t="s">
        <v>129</v>
      </c>
      <c r="C64" s="10" t="s">
        <v>134</v>
      </c>
      <c r="D64" s="11" t="n">
        <v>46229</v>
      </c>
      <c r="E64" s="11" t="n">
        <v>46229</v>
      </c>
      <c r="F64" s="8" t="n">
        <f aca="false">E61-D61+1</f>
        <v>1</v>
      </c>
      <c r="G64" s="12" t="s">
        <v>25</v>
      </c>
      <c r="H64" s="10" t="s">
        <v>135</v>
      </c>
    </row>
    <row r="65" customFormat="false" ht="15" hidden="false" customHeight="true" outlineLevel="0" collapsed="false">
      <c r="A65" s="13" t="n">
        <v>56</v>
      </c>
      <c r="B65" s="14" t="s">
        <v>129</v>
      </c>
      <c r="C65" s="15" t="s">
        <v>136</v>
      </c>
      <c r="D65" s="16" t="n">
        <v>46237</v>
      </c>
      <c r="E65" s="16" t="n">
        <v>46239</v>
      </c>
      <c r="F65" s="13" t="n">
        <f aca="false">E62-D62+1</f>
        <v>1</v>
      </c>
      <c r="G65" s="17" t="s">
        <v>25</v>
      </c>
      <c r="H65" s="15" t="s">
        <v>137</v>
      </c>
    </row>
    <row r="66" customFormat="false" ht="15" hidden="false" customHeight="true" outlineLevel="0" collapsed="false">
      <c r="A66" s="8" t="n">
        <v>57</v>
      </c>
      <c r="B66" s="9" t="s">
        <v>129</v>
      </c>
      <c r="C66" s="10" t="s">
        <v>138</v>
      </c>
      <c r="D66" s="11" t="n">
        <v>46238</v>
      </c>
      <c r="E66" s="11" t="n">
        <v>46238</v>
      </c>
      <c r="F66" s="8" t="n">
        <f aca="false">E63-D63+1</f>
        <v>1</v>
      </c>
      <c r="G66" s="12" t="s">
        <v>139</v>
      </c>
      <c r="H66" s="10" t="s">
        <v>140</v>
      </c>
    </row>
    <row r="67" customFormat="false" ht="15" hidden="false" customHeight="true" outlineLevel="0" collapsed="false">
      <c r="A67" s="13" t="n">
        <v>58</v>
      </c>
      <c r="B67" s="14" t="s">
        <v>129</v>
      </c>
      <c r="C67" s="15" t="s">
        <v>141</v>
      </c>
      <c r="D67" s="16" t="n">
        <v>46240</v>
      </c>
      <c r="E67" s="16" t="n">
        <v>46240</v>
      </c>
      <c r="F67" s="13" t="n">
        <f aca="false">E64-D64+1</f>
        <v>1</v>
      </c>
      <c r="G67" s="17" t="s">
        <v>124</v>
      </c>
      <c r="H67" s="15"/>
    </row>
  </sheetData>
  <mergeCells count="7">
    <mergeCell ref="A1:H1"/>
    <mergeCell ref="A2:H2"/>
    <mergeCell ref="A5:H5"/>
    <mergeCell ref="A18:H18"/>
    <mergeCell ref="A29:H29"/>
    <mergeCell ref="A46:H46"/>
    <mergeCell ref="A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18" t="s">
        <v>142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4" t="s">
        <v>143</v>
      </c>
      <c r="B2" s="4" t="s">
        <v>144</v>
      </c>
      <c r="C2" s="4" t="s">
        <v>145</v>
      </c>
      <c r="D2" s="4" t="s">
        <v>146</v>
      </c>
      <c r="E2" s="4" t="s">
        <v>147</v>
      </c>
      <c r="F2" s="4" t="s">
        <v>148</v>
      </c>
    </row>
    <row r="3" customFormat="false" ht="15" hidden="false" customHeight="true" outlineLevel="0" collapsed="false">
      <c r="A3" s="19" t="s">
        <v>11</v>
      </c>
      <c r="B3" s="19" t="s">
        <v>11</v>
      </c>
      <c r="C3" s="20" t="n">
        <f aca="false">MIN('Project Plan'!D6:D17)</f>
        <v>46127</v>
      </c>
      <c r="D3" s="20" t="n">
        <f aca="false">MAX('Project Plan'!E6:E17)</f>
        <v>46236</v>
      </c>
      <c r="E3" s="21" t="n">
        <f aca="false">D3-C3+1</f>
        <v>110</v>
      </c>
      <c r="F3" s="22" t="s">
        <v>149</v>
      </c>
    </row>
    <row r="4" customFormat="false" ht="15" hidden="false" customHeight="true" outlineLevel="0" collapsed="false">
      <c r="A4" s="23" t="s">
        <v>42</v>
      </c>
      <c r="B4" s="23" t="s">
        <v>42</v>
      </c>
      <c r="C4" s="24" t="n">
        <f aca="false">MIN('Project Plan'!D19:D28)</f>
        <v>46160</v>
      </c>
      <c r="D4" s="24" t="n">
        <f aca="false">MAX('Project Plan'!E19:E28)</f>
        <v>46227</v>
      </c>
      <c r="E4" s="25" t="n">
        <f aca="false">D4-C4+1</f>
        <v>68</v>
      </c>
      <c r="F4" s="26" t="s">
        <v>150</v>
      </c>
    </row>
    <row r="5" customFormat="false" ht="15" hidden="false" customHeight="true" outlineLevel="0" collapsed="false">
      <c r="A5" s="27" t="s">
        <v>66</v>
      </c>
      <c r="B5" s="27" t="s">
        <v>151</v>
      </c>
      <c r="C5" s="28" t="n">
        <f aca="false">MIN('Project Plan'!D30:D45)</f>
        <v>46143</v>
      </c>
      <c r="D5" s="28" t="n">
        <f aca="false">MAX('Project Plan'!E30:E45)</f>
        <v>46231</v>
      </c>
      <c r="E5" s="29" t="n">
        <f aca="false">D5-C5+1</f>
        <v>89</v>
      </c>
      <c r="F5" s="30" t="s">
        <v>152</v>
      </c>
    </row>
    <row r="6" customFormat="false" ht="15" hidden="false" customHeight="true" outlineLevel="0" collapsed="false">
      <c r="A6" s="31" t="s">
        <v>98</v>
      </c>
      <c r="B6" s="31" t="s">
        <v>153</v>
      </c>
      <c r="C6" s="32" t="n">
        <f aca="false">MIN('Project Plan'!D47:D60)</f>
        <v>46171</v>
      </c>
      <c r="D6" s="32" t="n">
        <f aca="false">MAX('Project Plan'!E47:E60)</f>
        <v>46254</v>
      </c>
      <c r="E6" s="33" t="n">
        <f aca="false">D6-C6+1</f>
        <v>84</v>
      </c>
      <c r="F6" s="34" t="s">
        <v>154</v>
      </c>
    </row>
    <row r="7" customFormat="false" ht="15" hidden="false" customHeight="true" outlineLevel="0" collapsed="false">
      <c r="A7" s="35" t="s">
        <v>129</v>
      </c>
      <c r="B7" s="35" t="s">
        <v>155</v>
      </c>
      <c r="C7" s="36" t="n">
        <f aca="false">MIN('Project Plan'!D62:D67)</f>
        <v>46175</v>
      </c>
      <c r="D7" s="36" t="n">
        <f aca="false">MAX('Project Plan'!E62:E67)</f>
        <v>46240</v>
      </c>
      <c r="E7" s="37" t="n">
        <f aca="false">D7-C7+1</f>
        <v>66</v>
      </c>
      <c r="F7" s="38" t="s">
        <v>156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2026-03-28T09:29:11Z</dcterms:created>
  <dc:creator>openpyxl</dc:creator>
  <dc:description/>
  <dc:language>en-US</dc:language>
  <cp:lastModifiedBy>דייויד קסטיאל</cp:lastModifiedBy>
  <cp:lastPrinted>2026-03-31T05:59:50Z</cp:lastPrinted>
  <dcterms:modified xsi:type="dcterms:W3CDTF">2026-06-07T05:25:50Z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