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Track 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&quot; days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8A44A"/>
      <sz val="16"/>
    </font>
    <font>
      <name val="Calibri"/>
      <charset val="1"/>
      <family val="0"/>
      <color rgb="FF8A8070"/>
      <sz val="10"/>
    </font>
    <font>
      <name val="FreeSans"/>
      <family val="2"/>
      <color rgb="FF8A8070"/>
      <sz val="10"/>
    </font>
    <font>
      <name val="Calibri"/>
      <charset val="1"/>
      <family val="0"/>
      <b val="1"/>
      <color rgb="FFE4DDD0"/>
      <sz val="10"/>
    </font>
    <font>
      <name val="FreeSans"/>
      <charset val="1"/>
      <family val="2"/>
      <b val="1"/>
      <color rgb="FFE4DDD0"/>
      <sz val="10"/>
    </font>
    <font>
      <name val="FreeSans"/>
      <charset val="1"/>
      <family val="2"/>
      <b val="1"/>
      <color rgb="FFC8A44A"/>
      <sz val="11"/>
    </font>
    <font>
      <name val="Calibri"/>
      <charset val="1"/>
      <family val="0"/>
      <color rgb="FFE4DDD0"/>
      <sz val="10"/>
    </font>
    <font>
      <name val="FreeSans"/>
      <charset val="1"/>
      <family val="2"/>
      <color rgb="FFE4DDD0"/>
      <sz val="10"/>
    </font>
    <font>
      <name val="Calibri"/>
      <charset val="1"/>
      <family val="0"/>
      <b val="1"/>
      <color rgb="FF8B5CF6"/>
      <sz val="10"/>
    </font>
    <font>
      <name val="Calibri"/>
      <charset val="1"/>
      <family val="0"/>
      <b val="1"/>
      <color rgb="FFC8A44A"/>
      <sz val="14"/>
    </font>
    <font>
      <name val="FreeSans"/>
      <charset val="1"/>
      <family val="2"/>
      <b val="1"/>
      <color rgb="FFC8A44A"/>
      <sz val="10"/>
    </font>
    <font>
      <name val="Calibri"/>
      <charset val="1"/>
      <family val="0"/>
      <color rgb="FFD0C8BC"/>
      <sz val="10"/>
    </font>
    <font>
      <name val="FreeSans"/>
      <charset val="1"/>
      <family val="2"/>
      <color rgb="FFD0C8BC"/>
      <sz val="10"/>
    </font>
  </fonts>
  <fills count="6">
    <fill>
      <patternFill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333333"/>
      </patternFill>
    </fill>
    <fill>
      <patternFill patternType="solid">
        <fgColor rgb="FF0A0F22"/>
        <bgColor rgb="FF0E1428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660066"/>
      <rgbColor rgb="FFFF8080"/>
      <rgbColor rgb="FF0066CC"/>
      <rgbColor rgb="FFE4DDD0"/>
      <rgbColor rgb="FF07091A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B5CF6"/>
      <rgbColor rgb="FFC8A44A"/>
      <rgbColor rgb="FF003366"/>
      <rgbColor rgb="FF339966"/>
      <rgbColor rgb="FF0E1428"/>
      <rgbColor rgb="FF3D2E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2" customWidth="1" style="26" min="2" max="2"/>
    <col width="40" customWidth="1" style="26" min="3" max="3"/>
    <col width="16" customWidth="1" style="26" min="4" max="5"/>
    <col width="12" customWidth="1" style="26" min="6" max="7"/>
    <col width="52" customWidth="1" style="26" min="8" max="8"/>
  </cols>
  <sheetData>
    <row r="1" ht="19.5" customHeight="1" s="27">
      <c r="A1" s="28" t="inlineStr">
        <is>
          <t>Odysee — Personal AI Travel Companion · Project Plan</t>
        </is>
      </c>
    </row>
    <row r="2" ht="12" customHeight="1" s="27">
      <c r="A2" s="29" t="inlineStr">
        <is>
          <t>David Castiel | M.Design · HIT | הגשת ספר 4.8.2026 · תערוכה 6–19.8.2026 | עודכן 23.07.2026 — v8</t>
        </is>
      </c>
    </row>
    <row r="4" ht="15" customHeight="1" s="27">
      <c r="A4" s="30" t="inlineStr">
        <is>
          <t>#</t>
        </is>
      </c>
      <c r="B4" s="31" t="inlineStr">
        <is>
          <t>פאזה</t>
        </is>
      </c>
      <c r="C4" s="32" t="inlineStr">
        <is>
          <t>משימה</t>
        </is>
      </c>
      <c r="D4" s="31" t="inlineStr">
        <is>
          <t>תאריך התחלה</t>
        </is>
      </c>
      <c r="E4" s="31" t="inlineStr">
        <is>
          <t>תאריך סיום</t>
        </is>
      </c>
      <c r="F4" s="31" t="inlineStr">
        <is>
          <t>משך (ימים)</t>
        </is>
      </c>
      <c r="G4" s="31" t="inlineStr">
        <is>
          <t>סטטוס</t>
        </is>
      </c>
      <c r="H4" s="32" t="inlineStr">
        <is>
          <t>הערות</t>
        </is>
      </c>
    </row>
    <row r="5" ht="14.25" customHeight="1" s="27">
      <c r="A5" s="33" t="inlineStr">
        <is>
          <t xml:space="preserve">  ספר — Book (freeze 25.7 · הגשה 4.8)</t>
        </is>
      </c>
    </row>
    <row r="6" ht="15" customHeight="1" s="27">
      <c r="A6" s="34" t="n">
        <v>1</v>
      </c>
      <c r="B6" s="35" t="inlineStr">
        <is>
          <t>ספר</t>
        </is>
      </c>
      <c r="C6" s="36" t="inlineStr">
        <is>
          <t>✅ פרקים 1–6 (טיוטה)</t>
        </is>
      </c>
      <c r="D6" s="37" t="n">
        <v>46127</v>
      </c>
      <c r="E6" s="37" t="n">
        <v>46159</v>
      </c>
      <c r="F6" s="34">
        <f>E6-D6+1</f>
        <v/>
      </c>
      <c r="G6" s="38" t="inlineStr">
        <is>
          <t>DOCS</t>
        </is>
      </c>
      <c r="H6" s="36" t="inlineStr">
        <is>
          <t>מבוא·רקע·קונספט·ארכיטקטורה·UX·מערכת עיצוב — טיוטה גמורה</t>
        </is>
      </c>
    </row>
    <row r="7" ht="15" customHeight="1" s="27">
      <c r="A7" s="39" t="n">
        <v>2</v>
      </c>
      <c r="B7" s="40" t="inlineStr">
        <is>
          <t>ספר</t>
        </is>
      </c>
      <c r="C7" s="41" t="inlineStr">
        <is>
          <t>✅ פרק 8 "הדור הבא" + ביבליוגרפיה (41)</t>
        </is>
      </c>
      <c r="D7" s="42" t="n">
        <v>46162</v>
      </c>
      <c r="E7" s="42" t="n">
        <v>46165</v>
      </c>
      <c r="F7" s="39">
        <f>E7-D7+1</f>
        <v/>
      </c>
      <c r="G7" s="43" t="inlineStr">
        <is>
          <t>DOCS</t>
        </is>
      </c>
      <c r="H7" s="41" t="inlineStr">
        <is>
          <t>נכתב ושולב; הדיון הפך לפרק 9</t>
        </is>
      </c>
    </row>
    <row r="8" ht="15" customHeight="1" s="27">
      <c r="A8" s="34" t="n">
        <v>3</v>
      </c>
      <c r="B8" s="35" t="inlineStr">
        <is>
          <t>ספר</t>
        </is>
      </c>
      <c r="C8" s="36" t="inlineStr">
        <is>
          <t>✅ איורים פרקים 2/4/5 (וקטורי)</t>
        </is>
      </c>
      <c r="D8" s="37" t="n">
        <v>46170</v>
      </c>
      <c r="E8" s="37" t="n">
        <v>46173</v>
      </c>
      <c r="F8" s="34">
        <f>E8-D8+1</f>
        <v/>
      </c>
      <c r="G8" s="38" t="inlineStr">
        <is>
          <t>DESIGN</t>
        </is>
      </c>
      <c r="H8" s="36" t="inlineStr">
        <is>
          <t>משפך אמון · מפת 11 סוכנים · journey map · 5 מסכים</t>
        </is>
      </c>
    </row>
    <row r="9" ht="15" customHeight="1" s="27">
      <c r="A9" s="39" t="n">
        <v>4</v>
      </c>
      <c r="B9" s="40" t="inlineStr">
        <is>
          <t>ספר</t>
        </is>
      </c>
      <c r="C9" s="41" t="inlineStr">
        <is>
          <t>✅ שכתוב פרק 6 ל-Brand V5</t>
        </is>
      </c>
      <c r="D9" s="42" t="n">
        <v>46176</v>
      </c>
      <c r="E9" s="42" t="n">
        <v>46185</v>
      </c>
      <c r="F9" s="39">
        <f>E9-D9+1</f>
        <v/>
      </c>
      <c r="G9" s="43" t="inlineStr">
        <is>
          <t>DESIGN</t>
        </is>
      </c>
      <c r="H9" s="41" t="inlineStr">
        <is>
          <t>מתעד מותג בן-שני-דורות; יחד עם design-system.html</t>
        </is>
      </c>
    </row>
    <row r="10" ht="15" customHeight="1" s="27">
      <c r="A10" s="39" t="n">
        <v>6</v>
      </c>
      <c r="B10" s="40" t="inlineStr">
        <is>
          <t>ספר</t>
        </is>
      </c>
      <c r="C10" s="41" t="inlineStr">
        <is>
          <t>✅ אימות ביבליוגרפיה + תיקון רינדור bidi</t>
        </is>
      </c>
      <c r="D10" s="42" t="n">
        <v>46183</v>
      </c>
      <c r="E10" s="42" t="n">
        <v>46227</v>
      </c>
      <c r="F10" s="39">
        <f>E10-D10+1</f>
        <v/>
      </c>
      <c r="G10" s="43" t="inlineStr">
        <is>
          <t>KEY</t>
        </is>
      </c>
      <c r="H10" s="41" t="inlineStr">
        <is>
          <t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 · Phocuswright+89%=Booking מאומתים; נותר Chile/Apple/Nature · 23.7: נסגר (עדכון David — ספר מוכן להדפסה)</t>
        </is>
      </c>
    </row>
    <row r="11" ht="15" customHeight="1" s="27">
      <c r="A11" s="34" t="inlineStr">
        <is>
          <t>6b</t>
        </is>
      </c>
      <c r="B11" s="35" t="inlineStr">
        <is>
          <t>ספר</t>
        </is>
      </c>
      <c r="C11" s="36" t="inlineStr">
        <is>
          <t>✅ תיקון bidi ל-citations בגוף (\citep הפוך)</t>
        </is>
      </c>
      <c r="D11" s="37" t="n">
        <v>46186</v>
      </c>
      <c r="E11" s="37" t="n">
        <v>46191</v>
      </c>
      <c r="F11" s="34">
        <f>E11-D11+1</f>
        <v/>
      </c>
      <c r="G11" s="38" t="inlineStr">
        <is>
          <t>DOCS</t>
        </is>
      </c>
      <c r="H11" s="36" t="inlineStr">
        <is>
          <t>✅ בקוד (\RenewDocumentCommand+\textenglish) — נותר אימות רנדר על PDF בלבד</t>
        </is>
      </c>
    </row>
    <row r="12" ht="15" customHeight="1" s="27">
      <c r="A12" s="39" t="n">
        <v>7</v>
      </c>
      <c r="B12" s="40" t="inlineStr">
        <is>
          <t>ספר</t>
        </is>
      </c>
      <c r="C12" s="41" t="inlineStr">
        <is>
          <t>✅ עריכת ניסוחים — כל הפרקים (Word flow)</t>
        </is>
      </c>
      <c r="D12" s="42" t="n">
        <v>46188</v>
      </c>
      <c r="E12" s="42" t="n">
        <v>46227</v>
      </c>
      <c r="F12" s="39">
        <f>E12-D12+1</f>
        <v/>
      </c>
      <c r="G12" s="43" t="inlineStr">
        <is>
          <t>CONTENT</t>
        </is>
      </c>
      <c r="H12" s="41" t="inlineStr">
        <is>
          <t>David עורך ב-Word → החלה עדינה על ה-tex · 23.7: נסגר</t>
        </is>
      </c>
    </row>
    <row r="13" ht="15" customHeight="1" s="27">
      <c r="A13" s="34" t="n">
        <v>8</v>
      </c>
      <c r="B13" s="35" t="inlineStr">
        <is>
          <t>ספר</t>
        </is>
      </c>
      <c r="C13" s="36" t="inlineStr">
        <is>
          <t>✅ פרק 7 (תערוכה)</t>
        </is>
      </c>
      <c r="D13" s="37" t="n">
        <v>46218</v>
      </c>
      <c r="E13" s="37" t="n">
        <v>46227</v>
      </c>
      <c r="F13" s="34">
        <f>E13-D13+1</f>
        <v/>
      </c>
      <c r="G13" s="38" t="inlineStr">
        <is>
          <t>KEY</t>
        </is>
      </c>
      <c r="H13" s="36" t="inlineStr">
        <is>
          <t>חסום ל-spec + מיפוי סוף יוני · 14.7: spec צפוי להיסגר היום — פותחים את הפרק מיד אחריו · 23.7: נסגר</t>
        </is>
      </c>
    </row>
    <row r="14" ht="15" customHeight="1" s="27">
      <c r="A14" s="39" t="n">
        <v>9</v>
      </c>
      <c r="B14" s="40" t="inlineStr">
        <is>
          <t>ספר</t>
        </is>
      </c>
      <c r="C14" s="41" t="inlineStr">
        <is>
          <t>✅ פרק 9 (דיון)</t>
        </is>
      </c>
      <c r="D14" s="42" t="n">
        <v>46211</v>
      </c>
      <c r="E14" s="42" t="n">
        <v>46221</v>
      </c>
      <c r="F14" s="39">
        <f>E14-D14+1</f>
        <v/>
      </c>
      <c r="G14" s="43" t="inlineStr">
        <is>
          <t>DOCS</t>
        </is>
      </c>
      <c r="H14" s="41" t="inlineStr">
        <is>
          <t>subsection קונסולידציה/מיקום (companion≠oracle) נוסף ואומת מול הדו״ח 9.6 (64/81/68 תוקנו: קטגוריה מול ChatGPT) · יתר הפרק לקראת הסוף · 23.7: נסגר</t>
        </is>
      </c>
    </row>
    <row r="15" ht="15" customHeight="1" s="27">
      <c r="A15" s="34" t="n">
        <v>10</v>
      </c>
      <c r="B15" s="35" t="inlineStr">
        <is>
          <t>ספר</t>
        </is>
      </c>
      <c r="C15" s="36" t="inlineStr">
        <is>
          <t>✅ Abstract אנגלית + עברית</t>
        </is>
      </c>
      <c r="D15" s="37" t="n">
        <v>46218</v>
      </c>
      <c r="E15" s="37" t="n">
        <v>46223</v>
      </c>
      <c r="F15" s="34">
        <f>E15-D15+1</f>
        <v/>
      </c>
      <c r="G15" s="38" t="inlineStr">
        <is>
          <t>DOCS</t>
        </is>
      </c>
      <c r="H15" s="36" t="inlineStr">
        <is>
          <t>לפי תקנון HIT · 23.7: נסגר</t>
        </is>
      </c>
    </row>
    <row r="16" ht="15" customHeight="1" s="27">
      <c r="A16" s="34" t="inlineStr">
        <is>
          <t>10b</t>
        </is>
      </c>
      <c r="B16" s="35" t="inlineStr">
        <is>
          <t>ספר</t>
        </is>
      </c>
      <c r="C16" s="36" t="inlineStr">
        <is>
          <t>✅ איורים לספר — סבב השלמה (כולל פיגורת לוגו + משפט-יישוב פ׳8)</t>
        </is>
      </c>
      <c r="D16" s="37" t="n">
        <v>46218</v>
      </c>
      <c r="E16" s="37" t="n">
        <v>46227</v>
      </c>
      <c r="F16" s="34">
        <f>E16-D16+1</f>
        <v/>
      </c>
      <c r="G16" s="38" t="inlineStr">
        <is>
          <t>DESIGN</t>
        </is>
      </c>
      <c r="H16" s="36" t="inlineStr">
        <is>
          <t>הפריט הפתוח הגדול בספר — כמעט אין איורים · מיזוג משימה 5 · 23.7: הושלם (עדכון David)</t>
        </is>
      </c>
    </row>
    <row r="17" ht="15" customHeight="1" s="27">
      <c r="A17" s="39" t="n">
        <v>11</v>
      </c>
      <c r="B17" s="40" t="inlineStr">
        <is>
          <t>ספר</t>
        </is>
      </c>
      <c r="C17" s="41" t="inlineStr">
        <is>
          <t>הקפאת תוכן + הגהה + בנייה סופית</t>
        </is>
      </c>
      <c r="D17" s="42" t="n">
        <v>46223</v>
      </c>
      <c r="E17" s="42" t="n">
        <v>46228</v>
      </c>
      <c r="F17" s="39">
        <f>E17-D17+1</f>
        <v/>
      </c>
      <c r="G17" s="43" t="inlineStr">
        <is>
          <t>KEY</t>
        </is>
      </c>
      <c r="H17" s="41" t="inlineStr">
        <is>
          <t>freeze מוקדם — הגהה אחרונה של David נסגרת עד שבת 25.7 צהריים (הוקדם מ-26.7 כדי לאפשר הזמנת Lupa שבת בערב)</t>
        </is>
      </c>
    </row>
    <row r="18" ht="14.25" customHeight="1" s="27">
      <c r="A18" s="39" t="inlineStr">
        <is>
          <t>11b</t>
        </is>
      </c>
      <c r="B18" s="40" t="inlineStr">
        <is>
          <t>ספר</t>
        </is>
      </c>
      <c r="C18" s="41" t="inlineStr">
        <is>
          <t>הדפסת ספר A4 כריכה רכה — אופציונלי</t>
        </is>
      </c>
      <c r="D18" s="42" t="n">
        <v>46230</v>
      </c>
      <c r="E18" s="42" t="n">
        <v>46237</v>
      </c>
      <c r="F18" s="39">
        <f>E18-D18+1</f>
        <v/>
      </c>
      <c r="G18" s="43" t="inlineStr">
        <is>
          <t>PRINT</t>
        </is>
      </c>
      <c r="H18" s="41" t="inlineStr">
        <is>
          <t>לא חובה — ההגשה הרשמית דיגיטלית עד 30.8 · עותק התצוגה לתערוכה = Lupa (11c) · אם מדפיסים: אחרי התערוכה, ללא לחץ</t>
        </is>
      </c>
    </row>
    <row r="19" ht="15" customHeight="1" s="27">
      <c r="A19" s="39" t="inlineStr">
        <is>
          <t>11c</t>
        </is>
      </c>
      <c r="B19" s="40" t="inlineStr">
        <is>
          <t>ספר</t>
        </is>
      </c>
      <c r="C19" s="41" t="inlineStr">
        <is>
          <t>עותק תצוגה Lupa (קלאסי פלוס, כריכה קשה)</t>
        </is>
      </c>
      <c r="D19" s="42" t="n">
        <v>46228</v>
      </c>
      <c r="E19" s="42" t="n">
        <v>46229</v>
      </c>
      <c r="F19" s="39">
        <f>E19-D19+1</f>
        <v/>
      </c>
      <c r="G19" s="43" t="inlineStr">
        <is>
          <t>PRINT</t>
        </is>
      </c>
      <c r="H19" s="41" t="inlineStr">
        <is>
          <t>הוקדם: שבת 25.7 בערב — build ייעודי main-lupa.pdf ‏(21.7×28, safe zone 8מ"מ, אייבורי עד הקצה) → מעבר עין על העימוד → JPG 300dpi ‏(pdftoppm -jpeg -r 300, ‏2563×3307px) → הזמנה · ראשון 26.7 = רשת ביטחון אם ה-build חושף בעיית עימוד · 243₪ · קבלה לפני 6.8</t>
        </is>
      </c>
    </row>
    <row r="20" ht="15" customHeight="1" s="27">
      <c r="A20" s="39" t="n"/>
    </row>
    <row r="21" ht="15" customHeight="1" s="27">
      <c r="A21" s="33" t="inlineStr">
        <is>
          <t xml:space="preserve">  אתר — Site (rebrand-v5 → main)</t>
        </is>
      </c>
    </row>
    <row r="22" ht="15" customHeight="1" s="27">
      <c r="A22" s="34" t="n">
        <v>13</v>
      </c>
      <c r="B22" s="35" t="inlineStr">
        <is>
          <t>אתר</t>
        </is>
      </c>
      <c r="C22" s="36" t="inlineStr">
        <is>
          <t>✅ מיגרציה Brand v1.0 + IA + next-generation</t>
        </is>
      </c>
      <c r="D22" s="37" t="n">
        <v>46160</v>
      </c>
      <c r="E22" s="37" t="n">
        <v>46165</v>
      </c>
      <c r="F22" s="34">
        <f>E22-D22+1</f>
        <v/>
      </c>
      <c r="G22" s="38" t="inlineStr">
        <is>
          <t>DESIGN</t>
        </is>
      </c>
      <c r="H22" s="36" t="inlineStr">
        <is>
          <t>5 עמודים + book/exhibition Coming Soon</t>
        </is>
      </c>
    </row>
    <row r="23" ht="15" customHeight="1" s="27">
      <c r="A23" s="39" t="n">
        <v>14</v>
      </c>
      <c r="B23" s="40" t="inlineStr">
        <is>
          <t>אתר</t>
        </is>
      </c>
      <c r="C23" s="41" t="inlineStr">
        <is>
          <t>✅ rebrand V5: 8 לוגואים→פנים + צבעים</t>
        </is>
      </c>
      <c r="D23" s="42" t="n">
        <v>46171</v>
      </c>
      <c r="E23" s="42" t="n">
        <v>46171</v>
      </c>
      <c r="F23" s="39">
        <f>E23-D23+1</f>
        <v/>
      </c>
      <c r="G23" s="43" t="inlineStr">
        <is>
          <t>DESIGN</t>
        </is>
      </c>
      <c r="H23" s="41" t="inlineStr">
        <is>
          <t>ענף rebrand-v5</t>
        </is>
      </c>
    </row>
    <row r="24" ht="15" customHeight="1" s="27">
      <c r="A24" s="34" t="n">
        <v>15</v>
      </c>
      <c r="B24" s="35" t="inlineStr">
        <is>
          <t>אתר</t>
        </is>
      </c>
      <c r="C24" s="36" t="inlineStr">
        <is>
          <t>✅ שכתוב design-system.html + hero-mark→פנים</t>
        </is>
      </c>
      <c r="D24" s="37" t="n">
        <v>46176</v>
      </c>
      <c r="E24" s="37" t="n">
        <v>46185</v>
      </c>
      <c r="F24" s="34">
        <f>E24-D24+1</f>
        <v/>
      </c>
      <c r="G24" s="38" t="inlineStr">
        <is>
          <t>DESIGN</t>
        </is>
      </c>
      <c r="H24" s="36" t="inlineStr">
        <is>
          <t>יחד עם פרק 6 בספר</t>
        </is>
      </c>
    </row>
    <row r="25" ht="15" customHeight="1" s="27">
      <c r="A25" s="39" t="n">
        <v>16</v>
      </c>
      <c r="B25" s="40" t="inlineStr">
        <is>
          <t>אתר</t>
        </is>
      </c>
      <c r="C25" s="41" t="inlineStr">
        <is>
          <t>✅ תיקון agents.html ל-4 סוכנים חיים</t>
        </is>
      </c>
      <c r="D25" s="42" t="n">
        <v>46177</v>
      </c>
      <c r="E25" s="42" t="n">
        <v>46179</v>
      </c>
      <c r="F25" s="39">
        <f>E25-D25+1</f>
        <v/>
      </c>
      <c r="G25" s="43" t="inlineStr">
        <is>
          <t>FIX</t>
        </is>
      </c>
      <c r="H25" s="41" t="inlineStr">
        <is>
          <t>סתירה ספר↔אתר (AGT-04 עדיין קונספטואלי באתר)</t>
        </is>
      </c>
    </row>
    <row r="26" ht="15" customHeight="1" s="27">
      <c r="A26" s="34" t="n">
        <v>17</v>
      </c>
      <c r="B26" s="35" t="inlineStr">
        <is>
          <t>אתר</t>
        </is>
      </c>
      <c r="C26" s="36" t="inlineStr">
        <is>
          <t>Plus Jakarta Sans (גוף) + favicon.svg</t>
        </is>
      </c>
      <c r="D26" s="37" t="n">
        <v>46183</v>
      </c>
      <c r="E26" s="37" t="n">
        <v>46187</v>
      </c>
      <c r="F26" s="34">
        <f>E26-D26+1</f>
        <v/>
      </c>
      <c r="G26" s="38" t="inlineStr">
        <is>
          <t>DEV</t>
        </is>
      </c>
      <c r="H26" s="36" t="inlineStr">
        <is>
          <t>עברית נשארת Heebo</t>
        </is>
      </c>
    </row>
    <row r="27" ht="15" customHeight="1" s="27">
      <c r="A27" s="39" t="n">
        <v>18</v>
      </c>
      <c r="B27" s="40" t="inlineStr">
        <is>
          <t>אתר</t>
        </is>
      </c>
      <c r="C27" s="41" t="inlineStr">
        <is>
          <t>איחוד .brand-mark*+טוקנים לקובץ משותף</t>
        </is>
      </c>
      <c r="D27" s="42" t="n">
        <v>46185</v>
      </c>
      <c r="E27" s="42" t="n">
        <v>46191</v>
      </c>
      <c r="F27" s="39">
        <f>E27-D27+1</f>
        <v/>
      </c>
      <c r="G27" s="43" t="inlineStr">
        <is>
          <t>DEV</t>
        </is>
      </c>
      <c r="H27" s="41" t="inlineStr">
        <is>
          <t>חוב טכני — לפני שינויי מותג נוספים</t>
        </is>
      </c>
    </row>
    <row r="28" ht="15" customHeight="1" s="27">
      <c r="A28" s="34" t="n">
        <v>19</v>
      </c>
      <c r="B28" s="35" t="inlineStr">
        <is>
          <t>אתר</t>
        </is>
      </c>
      <c r="C28" s="36" t="inlineStr">
        <is>
          <t>exhibition.html</t>
        </is>
      </c>
      <c r="D28" s="37" t="n">
        <v>46201</v>
      </c>
      <c r="E28" s="37" t="n">
        <v>46213</v>
      </c>
      <c r="F28" s="34">
        <f>E28-D28+1</f>
        <v/>
      </c>
      <c r="G28" s="38" t="inlineStr">
        <is>
          <t>DESIGN</t>
        </is>
      </c>
      <c r="H28" s="36" t="inlineStr">
        <is>
          <t>חסום ל-spec של HIT</t>
        </is>
      </c>
    </row>
    <row r="29" ht="14.25" customHeight="1" s="27">
      <c r="A29" s="39" t="n">
        <v>20</v>
      </c>
      <c r="B29" s="40" t="inlineStr">
        <is>
          <t>אתר</t>
        </is>
      </c>
      <c r="C29" s="41" t="inlineStr">
        <is>
          <t>QA light/dark/mobile/RTL + OG image</t>
        </is>
      </c>
      <c r="D29" s="42" t="n">
        <v>46215</v>
      </c>
      <c r="E29" s="42" t="n">
        <v>46221</v>
      </c>
      <c r="F29" s="39">
        <f>E29-D29+1</f>
        <v/>
      </c>
      <c r="G29" s="43" t="inlineStr">
        <is>
          <t>QA</t>
        </is>
      </c>
      <c r="H29" s="41" t="n"/>
    </row>
    <row r="30" ht="15" customHeight="1" s="27">
      <c r="A30" s="34" t="n">
        <v>21</v>
      </c>
    </row>
    <row r="31" ht="15" customHeight="1" s="27">
      <c r="A31" s="39" t="n"/>
    </row>
    <row r="32" ht="15" customHeight="1" s="27">
      <c r="A32" s="33" t="inlineStr">
        <is>
          <t xml:space="preserve">  אפליקציה + דמו — App &amp; Demo  ◀ נתיב קריטי</t>
        </is>
      </c>
    </row>
    <row r="33" ht="15" customHeight="1" s="27">
      <c r="A33" s="39" t="n">
        <v>23</v>
      </c>
      <c r="B33" s="40" t="inlineStr">
        <is>
          <t>אפליקציה</t>
        </is>
      </c>
      <c r="C33" s="41" t="inlineStr">
        <is>
          <t>✅ pipeline עובד (STT→agents→TTS)</t>
        </is>
      </c>
      <c r="D33" s="42" t="n">
        <v>46143</v>
      </c>
      <c r="E33" s="42" t="n">
        <v>46170</v>
      </c>
      <c r="F33" s="39">
        <f>E33-D33+1</f>
        <v/>
      </c>
      <c r="G33" s="43" t="inlineStr">
        <is>
          <t>DEV</t>
        </is>
      </c>
      <c r="H33" s="41" t="inlineStr">
        <is>
          <t>רץ יחסית טוב</t>
        </is>
      </c>
    </row>
    <row r="34" ht="15" customHeight="1" s="27">
      <c r="A34" s="34" t="n">
        <v>24</v>
      </c>
      <c r="B34" s="35" t="inlineStr">
        <is>
          <t>אפליקציה</t>
        </is>
      </c>
      <c r="C34" s="36" t="inlineStr">
        <is>
          <t>✅ 4 סוכנים עובדים בעיקרון (01/02/04/06)</t>
        </is>
      </c>
      <c r="D34" s="37" t="n">
        <v>46143</v>
      </c>
      <c r="E34" s="37" t="n">
        <v>46170</v>
      </c>
      <c r="F34" s="34">
        <f>E34-D34+1</f>
        <v/>
      </c>
      <c r="G34" s="38" t="inlineStr">
        <is>
          <t>IMPL</t>
        </is>
      </c>
      <c r="H34" s="36" t="n"/>
    </row>
    <row r="35" ht="15" customHeight="1" s="27">
      <c r="A35" s="39" t="n">
        <v>25</v>
      </c>
      <c r="B35" s="40" t="inlineStr">
        <is>
          <t>אפליקציה</t>
        </is>
      </c>
      <c r="C35" s="41" t="inlineStr">
        <is>
          <t>✅ tico-orb כפנים (idle/listen/think/speak)</t>
        </is>
      </c>
      <c r="D35" s="42" t="n">
        <v>46171</v>
      </c>
      <c r="E35" s="42" t="n">
        <v>46171</v>
      </c>
      <c r="F35" s="39">
        <f>E35-D35+1</f>
        <v/>
      </c>
      <c r="G35" s="43" t="inlineStr">
        <is>
          <t>DEV</t>
        </is>
      </c>
      <c r="H35" s="41" t="inlineStr">
        <is>
          <t>state machine + Web Audio</t>
        </is>
      </c>
    </row>
    <row r="36" ht="15" customHeight="1" s="27">
      <c r="A36" s="34" t="n">
        <v>26</v>
      </c>
      <c r="B36" s="35" t="inlineStr">
        <is>
          <t>אפליקציה</t>
        </is>
      </c>
      <c r="C36" s="36" t="inlineStr">
        <is>
          <t>עיצוב + ליטוש UI של הדמו</t>
        </is>
      </c>
      <c r="D36" s="37" t="n">
        <v>46176</v>
      </c>
      <c r="E36" s="37" t="n">
        <v>46221</v>
      </c>
      <c r="F36" s="34">
        <f>E36-D36+1</f>
        <v/>
      </c>
      <c r="G36" s="38" t="inlineStr">
        <is>
          <t>DESIGN</t>
        </is>
      </c>
      <c r="H36" s="36" t="inlineStr">
        <is>
          <t>"חסר לא מעט" — לב הנתיב הקריטי · 7.7: הצצה-משמאל (fix-4) הוצגה ואושרה ע"י חנן (טרם commit). spec ממנו ל-thinking: 3 נקודות + אישונים למעלה. משפט-פתיחה לפני tool ראשון = win מיידי ללטנטיות (חנן: "10 שניות לא מקובל") · 21.7: פתרון הלטנסי עבר לאודיו גישור (36c) אחרי שממצא לוג הראה ש-sentence chunking כבר קיים בצנרת.</t>
        </is>
      </c>
    </row>
    <row r="37" ht="15" customHeight="1" s="27">
      <c r="A37" s="39" t="n">
        <v>27</v>
      </c>
      <c r="B37" s="40" t="inlineStr">
        <is>
          <t>אפליקציה</t>
        </is>
      </c>
      <c r="C37" s="41" t="inlineStr">
        <is>
          <t>✅ חיבור tico-orb ל-TTS envelope + VAD</t>
        </is>
      </c>
      <c r="D37" s="42" t="n">
        <v>46181</v>
      </c>
      <c r="E37" s="42" t="n">
        <v>46191</v>
      </c>
      <c r="F37" s="39">
        <f>E37-D37+1</f>
        <v/>
      </c>
      <c r="G37" s="43" t="inlineStr">
        <is>
          <t>DEV</t>
        </is>
      </c>
      <c r="H37" s="41" t="inlineStr">
        <is>
          <t>פה לפי אמפליטודה; מעברי-מצב · מסומן סגור 14.7 (~90%) — אימות סופי במסגרת QA (35)</t>
        </is>
      </c>
    </row>
    <row r="38" ht="15" customHeight="1" s="27">
      <c r="A38" s="34" t="n">
        <v>28</v>
      </c>
      <c r="B38" s="35" t="inlineStr">
        <is>
          <t>אפליקציה</t>
        </is>
      </c>
      <c r="C38" s="36" t="inlineStr">
        <is>
          <t>✅ AGT-06 אימות מקצה-לקצה</t>
        </is>
      </c>
      <c r="D38" s="37" t="n">
        <v>46183</v>
      </c>
      <c r="E38" s="37" t="n">
        <v>46189</v>
      </c>
      <c r="F38" s="34">
        <f>E38-D38+1</f>
        <v/>
      </c>
      <c r="G38" s="38" t="inlineStr">
        <is>
          <t>DEV</t>
        </is>
      </c>
      <c r="H38" s="36" t="inlineStr">
        <is>
          <t>frontend לא אומת בזרימה מלאה · אומת שוב ושוב בריצות e2e מלאות מאז יוני</t>
        </is>
      </c>
    </row>
    <row r="39" ht="15" customHeight="1" s="27">
      <c r="A39" s="39" t="n">
        <v>29</v>
      </c>
      <c r="B39" s="40" t="inlineStr">
        <is>
          <t>אפליקציה</t>
        </is>
      </c>
      <c r="C39" s="41" t="inlineStr">
        <is>
          <t>✅ מודל PTT (tap+VAD) + טריגר כפתור פיזי (Pico HID→F13)</t>
        </is>
      </c>
      <c r="D39" s="42" t="n">
        <v>46187</v>
      </c>
      <c r="E39" s="42" t="n">
        <v>46201</v>
      </c>
      <c r="F39" s="39">
        <f>E39-D39+1</f>
        <v/>
      </c>
      <c r="G39" s="43" t="inlineStr">
        <is>
          <t>KEY</t>
        </is>
      </c>
      <c r="H39" s="41" t="inlineStr">
        <is>
          <t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 · 7.7: הוחלט כפתור פיזי שני 🎫 ל-takeaway על אותו Pico (GPIO פנוי → F14). 6 כפתורים הגיעו — 2 לפלינת, השאר רזרבה. מארז: הלחמה+hot-glue (לא breadboard), step drill, מדידת קוטר לפני קידוח</t>
        </is>
      </c>
    </row>
    <row r="40" ht="15" customHeight="1" s="27">
      <c r="A40" s="34" t="n">
        <v>30</v>
      </c>
      <c r="B40" s="35" t="inlineStr">
        <is>
          <t>אפליקציה</t>
        </is>
      </c>
      <c r="C40" s="36" t="inlineStr">
        <is>
          <t>demo-mode לנפילת רשת (fallback ל-6 APIs)</t>
        </is>
      </c>
      <c r="D40" s="37" t="n">
        <v>46218</v>
      </c>
      <c r="E40" s="37" t="n">
        <v>46222</v>
      </c>
      <c r="F40" s="34">
        <f>E40-D40+1</f>
        <v/>
      </c>
      <c r="G40" s="38" t="inlineStr">
        <is>
          <t>KEY</t>
        </is>
      </c>
      <c r="H40" s="36" t="inlineStr">
        <is>
          <t>המודם עובד (7.7) · היקף ריאלי: graceful degradation — זיהוי ניתוק, הודעת מסך ידידותית, התאוששות אוטומטית · בדיקות: ניתוק מודם ב-idle / באמצע שיחה / באמצע takeaway</t>
        </is>
      </c>
    </row>
    <row r="41" ht="15" customHeight="1" s="27">
      <c r="A41" s="39" t="n">
        <v>31</v>
      </c>
      <c r="B41" s="40" t="inlineStr">
        <is>
          <t>אפליקציה</t>
        </is>
      </c>
      <c r="C41" s="41" t="inlineStr">
        <is>
          <t>attract-loop + תוכן שיחה לקהל</t>
        </is>
      </c>
      <c r="D41" s="42" t="n">
        <v>46218</v>
      </c>
      <c r="E41" s="42" t="n">
        <v>46227</v>
      </c>
      <c r="F41" s="39">
        <f>E41-D41+1</f>
        <v/>
      </c>
      <c r="G41" s="43" t="inlineStr">
        <is>
          <t>CONTENT</t>
        </is>
      </c>
      <c r="H41" s="41" t="inlineStr">
        <is>
          <t>edge cases · תשובות ל-100–200 מבקרים</t>
        </is>
      </c>
    </row>
    <row r="42" ht="15" customHeight="1" s="27">
      <c r="A42" s="34" t="n">
        <v>32</v>
      </c>
      <c r="B42" s="35" t="inlineStr">
        <is>
          <t>אפליקציה</t>
        </is>
      </c>
      <c r="C42" s="36" t="inlineStr">
        <is>
          <t>✅ שליחת מסלול שנבנה למבקר (QR → PDF)</t>
        </is>
      </c>
      <c r="D42" s="37" t="n">
        <v>46188</v>
      </c>
      <c r="E42" s="37" t="n">
        <v>46196</v>
      </c>
      <c r="F42" s="34">
        <f>E42-D42+1</f>
        <v/>
      </c>
      <c r="G42" s="38" t="inlineStr">
        <is>
          <t>DEV</t>
        </is>
      </c>
      <c r="H42" s="36" t="inlineStr">
        <is>
          <t>שכבת must-have הושלמה ואומתה e2e (generate_takeaway→R2→QR→PDF). email נהרג (PII). נותר: trigger דרך Stream Deck + commit · 7.7: QL-800 צעדים 1-4 הושלמו — usb מאומת, brother_ql, QR 25מ"מ נסרק עם URL מלא של R2. תווית הוחלטה 29×29 מגליל רציף DK-22210 (לרכוש; יש sample). נותר צעד 5: חיווט ב-tico_server (~2172/2180) מאחורי feature-flag</t>
        </is>
      </c>
    </row>
    <row r="43" ht="14.25" customHeight="1" s="27">
      <c r="A43" s="39" t="inlineStr">
        <is>
          <t>32b</t>
        </is>
      </c>
      <c r="B43" s="40" t="inlineStr">
        <is>
          <t>אפליקציה</t>
        </is>
      </c>
      <c r="C43" s="41" t="inlineStr">
        <is>
          <t>✅ הדפסת תווית QL-800 + QR פיזי</t>
        </is>
      </c>
      <c r="D43" s="42" t="n">
        <v>46209</v>
      </c>
      <c r="E43" s="42" t="n">
        <v>46216</v>
      </c>
      <c r="F43" s="39">
        <f>E43-D43+1</f>
        <v/>
      </c>
      <c r="G43" s="43" t="inlineStr">
        <is>
          <t>DEV</t>
        </is>
      </c>
      <c r="H43" s="41" t="inlineStr">
        <is>
          <t>מנדטורי · קוד מאפס (אין כיום) · המצע = כרטיס boarding pass (47b)</t>
        </is>
      </c>
    </row>
    <row r="44" ht="15" customHeight="1" s="27">
      <c r="A44" s="34" t="n">
        <v>33</v>
      </c>
      <c r="B44" s="35" t="inlineStr">
        <is>
          <t>אפליקציה</t>
        </is>
      </c>
      <c r="C44" s="36" t="inlineStr">
        <is>
          <t>✅ אסטרטגיית תקציב TTS (שדרוג מ-NO_TTS)</t>
        </is>
      </c>
      <c r="D44" s="37" t="n">
        <v>46208</v>
      </c>
      <c r="E44" s="37" t="n">
        <v>46213</v>
      </c>
      <c r="F44" s="34">
        <f>E44-D44+1</f>
        <v/>
      </c>
      <c r="G44" s="38" t="inlineStr">
        <is>
          <t>KEY</t>
        </is>
      </c>
      <c r="H44" s="36" t="inlineStr">
        <is>
          <t>✅ eleven_v3 בפרודקשן · נותר: התראת מכסה — הועבר להערת ה-soak</t>
        </is>
      </c>
    </row>
    <row r="45" ht="15" customHeight="1" s="27">
      <c r="A45" s="34" t="n">
        <v>35</v>
      </c>
      <c r="B45" s="35" t="inlineStr">
        <is>
          <t>אפליקציה</t>
        </is>
      </c>
      <c r="C45" s="36" t="inlineStr">
        <is>
          <t>QA אינטגרציה מלאה (כל הסוכנים e2e)</t>
        </is>
      </c>
      <c r="D45" s="37" t="n">
        <v>46216</v>
      </c>
      <c r="E45" s="37" t="n">
        <v>46225</v>
      </c>
      <c r="F45" s="34">
        <f>E45-D45+1</f>
        <v/>
      </c>
      <c r="G45" s="38" t="inlineStr">
        <is>
          <t>QA</t>
        </is>
      </c>
      <c r="H45" s="36" t="inlineStr">
        <is>
          <t>✅ 3 מבחני קבלה עברו 21.7 (F14 empty · race לא קיים על 4db530f · takeaway מלא QR+מדבקה). באגים ידועים מעודכנים: geocoding בורח מהיעד (36d) · רינדור takeaway ~109ש' (36e) · קוביות מפה client-side (36f) · נעילת שפת-תגובה · reverse_geocoder ב-render · meta-prose</t>
        </is>
      </c>
    </row>
    <row r="46" ht="15" customHeight="1" s="27">
      <c r="A46" s="39" t="n">
        <v>36</v>
      </c>
      <c r="B46" s="40" t="inlineStr">
        <is>
          <t>אפליקציה</t>
        </is>
      </c>
      <c r="C46" s="41" t="inlineStr">
        <is>
          <t>✅ pilot עם משתמשים אמיתיים</t>
        </is>
      </c>
      <c r="D46" s="42" t="n">
        <v>46224</v>
      </c>
      <c r="E46" s="42" t="n">
        <v>46224</v>
      </c>
      <c r="F46" s="39">
        <f>E46-D46+1</f>
        <v/>
      </c>
      <c r="G46" s="43" t="inlineStr">
        <is>
          <t>KEY</t>
        </is>
      </c>
      <c r="H46" s="41" t="inlineStr">
        <is>
          <t>בוצע 21.7 — 6 בודקים (רינה/סמי/מאיר/גיא/ליאת/רחל) על Elgato Wave Neo. 'עבד מעולה רוב הזמן'. לוג מתוזמן נשמר (tico-session-2026-07-21.log). ממצאים→שורות: אודיו-גישור ללטנסי (36c) · 3 באגים (36d/e/f) · ES/FR spike (36g) · backlog משוב (36h). שבת 25.7: 3 בודקים עם Jabra להכרעת מיקרופון (42b).</t>
        </is>
      </c>
    </row>
    <row r="47" ht="15" customHeight="1" s="27">
      <c r="A47" s="39" t="inlineStr">
        <is>
          <t>36b</t>
        </is>
      </c>
      <c r="B47" s="40" t="inlineStr">
        <is>
          <t>אפליקציה</t>
        </is>
      </c>
      <c r="C47" s="41" t="inlineStr">
        <is>
          <t>Mac mini deploy: launchd · kiosk · VNC · STT-lock</t>
        </is>
      </c>
      <c r="D47" s="42" t="n">
        <v>46217</v>
      </c>
      <c r="E47" s="42" t="n">
        <v>46222</v>
      </c>
      <c r="F47" s="39">
        <f>E47-D47+1</f>
        <v/>
      </c>
      <c r="G47" s="43" t="inlineStr">
        <is>
          <t>KEY</t>
        </is>
      </c>
      <c r="H47" s="41" t="inlineStr">
        <is>
          <t>אומת במיקום 21.7: boot-to-kiosk, שרת חי, 3 מבחני קבלה עברו, pilot רץ עליו. תקלת הקמה שנפתרה: 'No input device found' → לחבר מיקרופון לפני boot + kickstart. נותר לפני 6.8: נוהל 'מיקרופון/Jabra לפני boot' (retry במקום crash) · control.html לא נגיש בתערוכה · הקשחות (cache-buster/שומר-פוקוס/boot.py).</t>
        </is>
      </c>
    </row>
    <row r="48" ht="15" customHeight="1" s="27">
      <c r="A48" s="34" t="inlineStr">
        <is>
          <t>36c</t>
        </is>
      </c>
      <c r="B48" s="35" t="inlineStr">
        <is>
          <t>אפליקציה</t>
        </is>
      </c>
      <c r="C48" s="36" t="inlineStr">
        <is>
          <t>אודיו גישור מוקלט מראש — פתרון לטנסי ראשי</t>
        </is>
      </c>
      <c r="D48" s="37" t="n">
        <v>46225</v>
      </c>
      <c r="E48" s="37" t="n">
        <v>46239</v>
      </c>
      <c r="F48" s="34">
        <f>E48-D48+1</f>
        <v/>
      </c>
      <c r="G48" s="38" t="inlineStr">
        <is>
          <t>DEV</t>
        </is>
      </c>
      <c r="H48" s="36" t="inlineStr">
        <is>
          <t>מימוש: שישי 24.7 — ראשון בתור (צריך soak; כל יום לא-פרוס = יום soak אבוד). ממצא לוג 21.7: sentence chunking כבר מיושם בצנרת — הפתרון המרכזי ללטנסי הוא אודיו גישור גנרי ("אני בונה את המסלול, רגע…") שמתנגן בזמן סבבי כלים (~11–13ש' שקט פתיחה). שינוי קטן, סיכון נמוך, מתיישב על companion-not-oracle. ריאלי לפני 6.8. חקירת TTFT המשתנה (עד 5.4ש') — אחרי התערוכה.</t>
        </is>
      </c>
    </row>
    <row r="49" ht="15" customHeight="1" s="27">
      <c r="A49" s="39" t="inlineStr">
        <is>
          <t>36d</t>
        </is>
      </c>
      <c r="B49" s="40" t="inlineStr">
        <is>
          <t>אפליקציה</t>
        </is>
      </c>
      <c r="C49" s="41" t="inlineStr">
        <is>
          <t>🐞 באג: geocoding בורח מהיעד</t>
        </is>
      </c>
      <c r="D49" s="42" t="n">
        <v>46225</v>
      </c>
      <c r="E49" s="42" t="n">
        <v>46239</v>
      </c>
      <c r="F49" s="39">
        <f>E49-D49+1</f>
        <v/>
      </c>
      <c r="G49" s="43" t="inlineStr">
        <is>
          <t>FIX</t>
        </is>
      </c>
      <c r="H49" s="41" t="inlineStr">
        <is>
          <t>מימוש: שישי 24.7, אחרי 36c. 'שוק העיר' (מסלול מרוקו) קיבל קואורדינטות של אבו דאבי (24.4895, 54.3567) — שאילתה גנרית → geocode גלובלי בלי עיגון. משפיע על מפת takeaway ועל כל קישור GMaps עתידי. תיקון: locationbias סביב dest_lat/lng + פילטר מרחק. מועמד חזק לפני 6.8 — חשוד כשורש משותף גם לבאג קוביות המפה (36f).</t>
        </is>
      </c>
    </row>
    <row r="50" ht="15" customHeight="1" s="27">
      <c r="A50" s="34" t="inlineStr">
        <is>
          <t>36e</t>
        </is>
      </c>
      <c r="B50" s="35" t="inlineStr">
        <is>
          <t>אפליקציה</t>
        </is>
      </c>
      <c r="C50" s="36" t="inlineStr">
        <is>
          <t>🐞 באג: רינדור takeaway איטי (~109ש')</t>
        </is>
      </c>
      <c r="D50" s="37" t="n">
        <v>46225</v>
      </c>
      <c r="E50" s="37" t="n">
        <v>46239</v>
      </c>
      <c r="F50" s="34">
        <f>E50-D50+1</f>
        <v/>
      </c>
      <c r="G50" s="38" t="inlineStr">
        <is>
          <t>FIX</t>
        </is>
      </c>
      <c r="H50" s="36" t="inlineStr">
        <is>
          <t>מדידה: שישי 24.7 (timestamps סביב Playwright). F14 עם cache חם → מדבקה = ~109ש' אצל רחל (כמעט 2 דק' ברגע המזכרת). חשוד: רינדור PDF (Playwright). לפני 6.8 לפחות למדוד אם טיפוסי.</t>
        </is>
      </c>
    </row>
    <row r="51" ht="15" customHeight="1" s="27">
      <c r="A51" s="39" t="inlineStr">
        <is>
          <t>36f</t>
        </is>
      </c>
      <c r="B51" s="40" t="inlineStr">
        <is>
          <t>אפליקציה</t>
        </is>
      </c>
      <c r="C51" s="41" t="inlineStr">
        <is>
          <t>🐞 באג: טעינת מפה בקוביות (2/6 בודקים)</t>
        </is>
      </c>
      <c r="D51" s="42" t="n">
        <v>46225</v>
      </c>
      <c r="E51" s="42" t="n">
        <v>46239</v>
      </c>
      <c r="F51" s="39">
        <f>E51-D51+1</f>
        <v/>
      </c>
      <c r="G51" s="43" t="inlineStr">
        <is>
          <t>FIX</t>
        </is>
      </c>
      <c r="H51" s="41" t="inlineStr">
        <is>
          <t>tiles נטענים לאט ובהדרגה. צד-לקוח בלבד — לא מופיע ב-tico-server.log (הדפדפן מושך tiles ישירות). חשודים: (א) רוחב פס במיקום; (ב) קשור ל-geocoding (נקודת אבו דאבי מותחת fitBounds על ~6000ק"מ → זום קיצוני → מבול tiles); (ג) re-fit אחרי כל מנת נקודות. צעדים: לתקן geocoding ולבדוק שוב · מבחן טעינת מפה על רשת HIT לצ'קליסט ההקמה · אופציה עתידית: fitBounds אחד בסוף (app.js, לא לפני שבת).</t>
        </is>
      </c>
    </row>
    <row r="52" ht="15" customHeight="1" s="27">
      <c r="A52" s="34" t="inlineStr">
        <is>
          <t>36g</t>
        </is>
      </c>
      <c r="B52" s="35" t="inlineStr">
        <is>
          <t>אפליקציה</t>
        </is>
      </c>
      <c r="C52" s="36" t="inlineStr">
        <is>
          <t>שיחה ב-ES/FR — spike היתכנות (nice-to-have)</t>
        </is>
      </c>
      <c r="D52" s="37" t="n">
        <v>46225</v>
      </c>
      <c r="E52" s="37" t="n">
        <v>46239</v>
      </c>
      <c r="F52" s="34">
        <f>E52-D52+1</f>
        <v/>
      </c>
      <c r="G52" s="38" t="inlineStr">
        <is>
          <t>DEV</t>
        </is>
      </c>
      <c r="H52" s="36" t="inlineStr">
        <is>
          <t>בקשת בודקים 21.7: לשוחח עם Tico בספרדית ובצרפתית. spike היתכנות: STT (זיהוי/נעילת שפה) · LLM · קול TTS ל-ES/FR · נעילת שפת-תגובה. nice-to-have — רק אם יישאר זמן לפני 6.8, לא חוסם את הנתיב הקריטי. אם לא — לפרק 'הדור הבא' בספר.</t>
        </is>
      </c>
    </row>
    <row r="53" ht="15" customHeight="1" s="27">
      <c r="A53" s="39" t="inlineStr">
        <is>
          <t>36h</t>
        </is>
      </c>
      <c r="B53" s="40" t="inlineStr">
        <is>
          <t>אפליקציה</t>
        </is>
      </c>
      <c r="C53" s="41" t="inlineStr">
        <is>
          <t>backlog משוב בודקים 21.7</t>
        </is>
      </c>
      <c r="D53" s="42" t="n">
        <v>46225</v>
      </c>
      <c r="E53" s="42" t="n">
        <v>46239</v>
      </c>
      <c r="F53" s="39">
        <f>E53-D53+1</f>
        <v/>
      </c>
      <c r="G53" s="43" t="inlineStr">
        <is>
          <t>CONTENT</t>
        </is>
      </c>
      <c r="H53" s="41" t="inlineStr">
        <is>
          <t>'planning not booking' — שישי 24.7 אם נשאר זמן. מרוכז: (1) קישור Google Maps ב-takeaway — קל, URL אוניברסלי maps/dir/?api=1&amp;waypoints=… (עד ~9 תחנות, בלי API key), חסום על geocoding · (2) PDF אישי יותר (מלונות/מסעדות/הגעה משדה/'להזמין מראש' — מאיר) = הרחבת פרומפט takeaway, לפני 6.8 אם מתועדף · (3) 'planning not booking' מוקדם — משפט בפתיח/שלט, מומלץ · (4) מפה בסיכום (מאיר) — חסום על geocoding. לא לתערוכה: פתיח עם תאריכים/טיסות/מלונות (→'הדור הבא') · הגיית עברית (לא משקיעים) · barge-in (TODO אחרי התערוכה).</t>
        </is>
      </c>
    </row>
    <row r="54" ht="15" customHeight="1" s="27">
      <c r="A54" s="34" t="n">
        <v>37</v>
      </c>
    </row>
    <row r="55" ht="15" customHeight="1" s="27">
      <c r="A55" s="39" t="n"/>
    </row>
    <row r="56" ht="15" customHeight="1" s="27">
      <c r="A56" s="33" t="inlineStr">
        <is>
          <t xml:space="preserve">  סרט Hero — Hero Video  ◀ lead-time</t>
        </is>
      </c>
    </row>
    <row r="57" ht="14.25" customHeight="1" s="27">
      <c r="A57" s="39" t="inlineStr">
        <is>
          <t>H1</t>
        </is>
      </c>
      <c r="B57" s="40" t="inlineStr">
        <is>
          <t>סרט</t>
        </is>
      </c>
      <c r="C57" s="41" t="inlineStr">
        <is>
          <t>✅ סטילס+הנפשה P1–P10</t>
        </is>
      </c>
      <c r="D57" s="42" t="n">
        <v>46193</v>
      </c>
      <c r="E57" s="42" t="n">
        <v>46204</v>
      </c>
      <c r="F57" s="39">
        <f>E57-D57+1</f>
        <v/>
      </c>
      <c r="G57" s="43" t="inlineStr">
        <is>
          <t>DESIGN</t>
        </is>
      </c>
      <c r="H57" s="41" t="inlineStr">
        <is>
          <t>משפחת-בית P1–P5 + רחוב/חשיפה P6–P10 · אנטי-דריפט מוכח · מנוע=Grok (Veo גיבוי)</t>
        </is>
      </c>
    </row>
    <row r="58" ht="15" customHeight="1" s="27">
      <c r="A58" s="34" t="inlineStr">
        <is>
          <t>H2</t>
        </is>
      </c>
      <c r="B58" s="35" t="inlineStr">
        <is>
          <t>סרט</t>
        </is>
      </c>
      <c r="C58" s="36" t="inlineStr">
        <is>
          <t>סטילס חסרים P11/P13/P14/P8b/P9b</t>
        </is>
      </c>
      <c r="D58" s="37" t="n">
        <v>46207</v>
      </c>
      <c r="E58" s="37" t="n">
        <v>46208</v>
      </c>
      <c r="F58" s="34">
        <f>E58-D58+1</f>
        <v/>
      </c>
      <c r="G58" s="38" t="inlineStr">
        <is>
          <t>DESIGN</t>
        </is>
      </c>
      <c r="H58" s="36" t="inlineStr">
        <is>
          <t>פרומפטים מוכנים ב-storyboard-v2</t>
        </is>
      </c>
    </row>
    <row r="59" ht="15" customHeight="1" s="27">
      <c r="A59" s="39" t="inlineStr">
        <is>
          <t>H3</t>
        </is>
      </c>
      <c r="B59" s="40" t="inlineStr">
        <is>
          <t>סרט</t>
        </is>
      </c>
      <c r="C59" s="41" t="inlineStr">
        <is>
          <t>P12 = זיכרון-אור (החלטת David)</t>
        </is>
      </c>
      <c r="D59" s="42" t="n">
        <v>46206</v>
      </c>
      <c r="E59" s="42" t="n">
        <v>46206</v>
      </c>
      <c r="F59" s="39">
        <f>E59-D59+1</f>
        <v/>
      </c>
      <c r="G59" s="43" t="inlineStr">
        <is>
          <t>KEY</t>
        </is>
      </c>
      <c r="H59" s="41" t="inlineStr">
        <is>
          <t>לא iPad (קו-אדום: מסך=עֵד, לא נהג) · ממתין לאישור חנן 7.7</t>
        </is>
      </c>
    </row>
    <row r="60" ht="15" customHeight="1" s="27">
      <c r="A60" s="34" t="inlineStr">
        <is>
          <t>H4</t>
        </is>
      </c>
      <c r="B60" s="35" t="inlineStr">
        <is>
          <t>סרט</t>
        </is>
      </c>
      <c r="C60" s="36" t="inlineStr">
        <is>
          <t>composite הסימן הווקטורי בכל שוט (Motion/AE)</t>
        </is>
      </c>
      <c r="D60" s="37" t="n">
        <v>46207</v>
      </c>
      <c r="E60" s="37" t="n">
        <v>46209</v>
      </c>
      <c r="F60" s="34">
        <f>E60-D60+1</f>
        <v/>
      </c>
      <c r="G60" s="38" t="inlineStr">
        <is>
          <t>KEY</t>
        </is>
      </c>
      <c r="H60" s="36" t="inlineStr">
        <is>
          <t>כולל שוט 13 בזיכרון-אור composited · חובה ל-6.7 · המשימה הגדולה שנותרה</t>
        </is>
      </c>
    </row>
    <row r="61" ht="15" customHeight="1" s="27">
      <c r="A61" s="39" t="inlineStr">
        <is>
          <t>H5</t>
        </is>
      </c>
      <c r="B61" s="40" t="inlineStr">
        <is>
          <t>סרט</t>
        </is>
      </c>
      <c r="C61" s="41" t="inlineStr">
        <is>
          <t>HD re-export P6–P10 + נרמול AR ל-16:9</t>
        </is>
      </c>
      <c r="D61" s="42" t="n">
        <v>46211</v>
      </c>
      <c r="E61" s="42" t="n">
        <v>46213</v>
      </c>
      <c r="F61" s="39">
        <f>E61-D61+1</f>
        <v/>
      </c>
      <c r="G61" s="43" t="inlineStr">
        <is>
          <t>DEV</t>
        </is>
      </c>
      <c r="H61" s="41" t="inlineStr">
        <is>
          <t>post-חנן · polish רזולוציה</t>
        </is>
      </c>
    </row>
    <row r="62" ht="15" customHeight="1" s="27">
      <c r="A62" s="34" t="inlineStr">
        <is>
          <t>H6</t>
        </is>
      </c>
      <c r="B62" s="35" t="inlineStr">
        <is>
          <t>סרט</t>
        </is>
      </c>
      <c r="C62" s="36" t="inlineStr">
        <is>
          <t>מוזיקה/פס-קול (~44ש שקט) + מיקס VO</t>
        </is>
      </c>
      <c r="D62" s="37" t="n">
        <v>46210</v>
      </c>
      <c r="E62" s="37" t="n">
        <v>46210</v>
      </c>
      <c r="F62" s="34">
        <f>E62-D62+1</f>
        <v/>
      </c>
      <c r="G62" s="38" t="inlineStr">
        <is>
          <t>DESIGN</t>
        </is>
      </c>
      <c r="H62" s="36" t="inlineStr">
        <is>
          <t>stretch · גרסה ראשונה עד 7.7 אם יש זמן · לא חוסם הצגת חנן · אחרת אחרי</t>
        </is>
      </c>
    </row>
    <row r="63" ht="15" customHeight="1" s="27">
      <c r="A63" s="34" t="inlineStr">
        <is>
          <t>H7</t>
        </is>
      </c>
    </row>
    <row r="64" ht="15" customHeight="1" s="27">
      <c r="A64" s="39" t="n"/>
    </row>
    <row r="65" ht="15" customHeight="1" s="27">
      <c r="A65" s="33" t="inlineStr">
        <is>
          <t xml:space="preserve">  תערוכה / לוגיסטיקה — Exhibition</t>
        </is>
      </c>
    </row>
    <row r="66" ht="15" customHeight="1" s="27">
      <c r="A66" s="39" t="n">
        <v>39</v>
      </c>
      <c r="B66" s="40" t="inlineStr">
        <is>
          <t>תערוכה</t>
        </is>
      </c>
      <c r="C66" s="41" t="inlineStr">
        <is>
          <t>✅ החלטות חלל/מיצב</t>
        </is>
      </c>
      <c r="D66" s="42" t="n">
        <v>46171</v>
      </c>
      <c r="E66" s="42" t="n">
        <v>46171</v>
      </c>
      <c r="F66" s="39">
        <f>E66-D66+1</f>
        <v/>
      </c>
      <c r="G66" s="43" t="inlineStr">
        <is>
          <t>KEY</t>
        </is>
      </c>
      <c r="H66" s="41" t="inlineStr">
        <is>
          <t>מסך אחד · handset+PTT · Stream Deck Neo</t>
        </is>
      </c>
    </row>
    <row r="67" ht="15" customHeight="1" s="27">
      <c r="A67" s="34" t="n">
        <v>40</v>
      </c>
      <c r="B67" s="35" t="inlineStr">
        <is>
          <t>תערוכה</t>
        </is>
      </c>
      <c r="C67" s="36" t="inlineStr">
        <is>
          <t>קבלת spec מ-HIT</t>
        </is>
      </c>
      <c r="D67" s="37" t="n">
        <v>46174</v>
      </c>
      <c r="E67" s="37" t="n">
        <v>46218</v>
      </c>
      <c r="F67" s="34">
        <f>E67-D67+1</f>
        <v/>
      </c>
      <c r="G67" s="38" t="inlineStr">
        <is>
          <t>KEY</t>
        </is>
      </c>
      <c r="H67" s="36" t="inlineStr">
        <is>
          <t>היה ל-26.5, מאחר — חוסם פרק 7/מיפוי/חשמל · 14.7: צפוי להיסגר היום</t>
        </is>
      </c>
    </row>
    <row r="68" ht="15" customHeight="1" s="27">
      <c r="A68" s="39" t="n">
        <v>41</v>
      </c>
      <c r="B68" s="40" t="inlineStr">
        <is>
          <t>תערוכה</t>
        </is>
      </c>
      <c r="C68" s="41" t="inlineStr">
        <is>
          <t>✅ קביעת דגם Mac mini + גודל מסך</t>
        </is>
      </c>
      <c r="D68" s="42" t="n">
        <v>46176</v>
      </c>
      <c r="E68" s="42" t="n">
        <v>46183</v>
      </c>
      <c r="F68" s="39">
        <f>E68-D68+1</f>
        <v/>
      </c>
      <c r="G68" s="43" t="inlineStr">
        <is>
          <t>HW</t>
        </is>
      </c>
      <c r="H68" s="41" t="inlineStr">
        <is>
          <t>לחישוב חשמל מדויק</t>
        </is>
      </c>
    </row>
    <row r="69" ht="15" customHeight="1" s="27">
      <c r="A69" s="39" t="inlineStr">
        <is>
          <t>41b</t>
        </is>
      </c>
      <c r="B69" s="40" t="inlineStr">
        <is>
          <t>תערוכה</t>
        </is>
      </c>
      <c r="C69" s="41" t="inlineStr">
        <is>
          <t>❄️ החלפת מסכים — הוקפא: live נשאר 24″ · הדמיות נשאר 32″</t>
        </is>
      </c>
      <c r="D69" s="42" t="n">
        <v>46220</v>
      </c>
      <c r="E69" s="42" t="n">
        <v>46222</v>
      </c>
      <c r="F69" s="39">
        <f>E69-D69+1</f>
        <v/>
      </c>
      <c r="G69" s="43" t="inlineStr">
        <is>
          <t>HW</t>
        </is>
      </c>
      <c r="H69" s="41" t="inlineStr">
        <is>
          <t>הוקפא 19.7 (החלטת David): בדיקות המשתמשים 21.7 על ה-24″ הקיים; הגדלה תיבחן רק אם יישאר זמן</t>
        </is>
      </c>
    </row>
    <row r="70" ht="15" customHeight="1" s="27">
      <c r="A70" s="34" t="n">
        <v>42</v>
      </c>
      <c r="B70" s="35" t="inlineStr">
        <is>
          <t>תערוכה</t>
        </is>
      </c>
      <c r="C70" s="36" t="inlineStr">
        <is>
          <t>החלטת גיבוי חומרה (Mac mini/מודם/מיק רזרבי)</t>
        </is>
      </c>
      <c r="D70" s="37" t="n">
        <v>46217</v>
      </c>
      <c r="E70" s="37" t="n">
        <v>46220</v>
      </c>
      <c r="F70" s="34">
        <f>E70-D70+1</f>
        <v/>
      </c>
      <c r="G70" s="38" t="inlineStr">
        <is>
          <t>HW</t>
        </is>
      </c>
      <c r="H70" s="36" t="inlineStr">
        <is>
          <t>מה קורה אם רכיב נופל באמצע 14 הימים — להחליט על רזרבה לפני התערוכה · לדיון 14.7 ערב</t>
        </is>
      </c>
    </row>
    <row r="71" ht="15" customHeight="1" s="27">
      <c r="A71" s="34" t="inlineStr">
        <is>
          <t>42b</t>
        </is>
      </c>
      <c r="B71" s="35" t="inlineStr">
        <is>
          <t>תערוכה</t>
        </is>
      </c>
      <c r="C71" s="36" t="inlineStr">
        <is>
          <t>הכרעת מיקרופון: Elgato מול Jabra — מבחן ביתי 20 דק׳</t>
        </is>
      </c>
      <c r="D71" s="37" t="n">
        <v>46227</v>
      </c>
      <c r="E71" s="37" t="n">
        <v>46227</v>
      </c>
      <c r="F71" s="34">
        <f>E71-D71+1</f>
        <v/>
      </c>
      <c r="G71" s="38" t="inlineStr">
        <is>
          <t>HW</t>
        </is>
      </c>
      <c r="H71" s="36" t="inlineStr">
        <is>
          <t>3 בודקי שבת בוטלו (החלטת David 23.7). במקום: מבחן ביתי שישי 24.7 בערב — David + אדם נוסף, שיחה מלאה עם Jabra ואז Elgato, כשהאדם השני מדבר ליד באמצע הקלטה. השאלה היחידה: מה קורה כשצד שלישי מדבר (תקרית אמא-של-רחל = תרחיש האולם). הכרעה מיד אחרי. רקע: ה-pilot כולו רץ על Elgato — כל נתוני ה-STT ממנו.</t>
        </is>
      </c>
    </row>
    <row r="72" ht="15" customHeight="1" s="27">
      <c r="A72" s="39" t="n">
        <v>43</v>
      </c>
      <c r="B72" s="40" t="inlineStr">
        <is>
          <t>תערוכה</t>
        </is>
      </c>
      <c r="C72" s="41" t="inlineStr">
        <is>
          <t>✅ קבלת מודם סלולרי</t>
        </is>
      </c>
      <c r="D72" s="42" t="n">
        <v>46185</v>
      </c>
      <c r="E72" s="42" t="n">
        <v>46185</v>
      </c>
      <c r="F72" s="39">
        <f>E72-D72+1</f>
        <v/>
      </c>
      <c r="G72" s="43" t="inlineStr">
        <is>
          <t>HW</t>
        </is>
      </c>
      <c r="H72" s="41" t="inlineStr">
        <is>
          <t>~שבועיים — חוסם בדיקת demo-mode · 7.7: המודם ביד. בדיקה מיידית: אותו prompt על מודם מול Wi-Fi HIT — בקמפוס איטי משמעותית מהבית</t>
        </is>
      </c>
    </row>
    <row r="73" ht="15" customHeight="1" s="27">
      <c r="A73" s="34" t="n">
        <v>44</v>
      </c>
      <c r="B73" s="35" t="inlineStr">
        <is>
          <t>תערוכה</t>
        </is>
      </c>
      <c r="C73" s="36" t="inlineStr">
        <is>
          <t>מיפוי סופי + אישור חשמל/UPS מול האוצרת</t>
        </is>
      </c>
      <c r="D73" s="37" t="n">
        <v>46217</v>
      </c>
      <c r="E73" s="37" t="n">
        <v>46222</v>
      </c>
      <c r="F73" s="34">
        <f>E73-D73+1</f>
        <v/>
      </c>
      <c r="G73" s="38" t="inlineStr">
        <is>
          <t>KEY</t>
        </is>
      </c>
      <c r="H73" s="36" t="inlineStr">
        <is>
          <t>שקע 230V מוארק + UPS · 19.7: הדמיית drawio עדכנית (קיר קאפה 3.3 מ׳ · BOLLSIDAN · מסכים תלויים) הוצגה ליעל בזום</t>
        </is>
      </c>
    </row>
    <row r="74" ht="15" customHeight="1" s="27">
      <c r="A74" s="39" t="inlineStr">
        <is>
          <t>44b</t>
        </is>
      </c>
      <c r="B74" s="40" t="inlineStr">
        <is>
          <t>תערוכה</t>
        </is>
      </c>
      <c r="C74" s="41" t="inlineStr">
        <is>
          <t>✅ קונסטרוקציית רקע/קיר — יעד החלטה</t>
        </is>
      </c>
      <c r="D74" s="42" t="n">
        <v>46210</v>
      </c>
      <c r="E74" s="42" t="n">
        <v>46210</v>
      </c>
      <c r="F74" s="39">
        <f>E74-D74+1</f>
        <v/>
      </c>
      <c r="G74" s="43" t="inlineStr">
        <is>
          <t>KEY</t>
        </is>
      </c>
      <c r="H74" s="41" t="inlineStr">
        <is>
          <t>יעד להחלטת כיוון (מפושט) · לא ביצוע · חוסם מדבקת-קיר + טופס בטיחות</t>
        </is>
      </c>
    </row>
    <row r="75" ht="12" customHeight="1" s="27">
      <c r="A75" s="39" t="n">
        <v>46</v>
      </c>
      <c r="B75" s="40" t="inlineStr">
        <is>
          <t>תערוכה</t>
        </is>
      </c>
      <c r="C75" s="41" t="inlineStr">
        <is>
          <t>✅ עיצוב פוסטר 1.2×0.8 (פורטרט)</t>
        </is>
      </c>
      <c r="D75" s="42" t="n">
        <v>46217</v>
      </c>
      <c r="E75" s="42" t="n">
        <v>46224</v>
      </c>
      <c r="F75" s="39">
        <f>E75-D75+1</f>
        <v/>
      </c>
      <c r="G75" s="43" t="inlineStr">
        <is>
          <t>DESIGN</t>
        </is>
      </c>
      <c r="H75" s="41" t="inlineStr">
        <is>
          <t>גודל סופי 120×80 (נסגר 17.7) · 19.7: C2 נבחר, mockup עם הסימן האמיתי הופק · נותר: טקסטים סופיים מהספר, שם מנחה, QR אמיתי · 23.7: הושלם — agents-flat-v4 שולב, הכותרת ירדה, QR תוקן ל-https://odysee.me</t>
        </is>
      </c>
    </row>
    <row r="76" ht="15" customHeight="1" s="27">
      <c r="A76" s="34" t="inlineStr">
        <is>
          <t>46b</t>
        </is>
      </c>
      <c r="B76" s="35" t="inlineStr">
        <is>
          <t>תערוכה</t>
        </is>
      </c>
      <c r="C76" s="36" t="inlineStr">
        <is>
          <t>מדבקת קיר — לוח המראות (בגודל מלא)</t>
        </is>
      </c>
      <c r="D76" s="37" t="n">
        <v>46209</v>
      </c>
      <c r="E76" s="37" t="n">
        <v>46229</v>
      </c>
      <c r="F76" s="34">
        <f>E76-D76+1</f>
        <v/>
      </c>
      <c r="G76" s="38" t="inlineStr">
        <is>
          <t>DESIGN</t>
        </is>
      </c>
      <c r="H76" s="36" t="inlineStr">
        <is>
          <t>artwork בגודל מלא — ⚠️ לוודא מידות ה"חלון" מול המסכים החדשים (32"/49") לפני דפוס</t>
        </is>
      </c>
    </row>
    <row r="77" ht="15" customHeight="1" s="27">
      <c r="A77" s="39" t="inlineStr">
        <is>
          <t>46c</t>
        </is>
      </c>
      <c r="B77" s="40" t="inlineStr">
        <is>
          <t>תערוכה</t>
        </is>
      </c>
      <c r="C77" s="41" t="inlineStr">
        <is>
          <t>לופ הודעות popup — 2 מסכי 15″ + סטרימרים (במקום מקרנים)</t>
        </is>
      </c>
      <c r="D77" s="42" t="n">
        <v>46211</v>
      </c>
      <c r="E77" s="42" t="n">
        <v>46227</v>
      </c>
      <c r="F77" s="39">
        <f>E77-D77+1</f>
        <v/>
      </c>
      <c r="G77" s="43" t="inlineStr">
        <is>
          <t>DEV</t>
        </is>
      </c>
      <c r="H77" s="41" t="inlineStr">
        <is>
          <t>19.7: הוחלט — מסכי 15″ תלויים בפינות, הזנת USB בלבד, סטרימר מריץ לופ הודעות Tico · הקוד קיים, ההכנה בהמשך · 23.7: חומרה סגורה; נותר בחירת תוכן ללופ (חומר גלם קיים) — שבת 25.7 אחה"צ</t>
        </is>
      </c>
    </row>
    <row r="78" ht="15" customHeight="1" s="27">
      <c r="A78" s="39" t="inlineStr">
        <is>
          <t>46d</t>
        </is>
      </c>
      <c r="B78" s="40" t="inlineStr">
        <is>
          <t>תערוכה</t>
        </is>
      </c>
      <c r="C78" s="41" t="inlineStr">
        <is>
          <t>החלטת תוכן מסך הדמיות (7 אובייקטים) → build</t>
        </is>
      </c>
      <c r="D78" s="42" t="n">
        <v>46211</v>
      </c>
      <c r="E78" s="42" t="n">
        <v>46228</v>
      </c>
      <c r="F78" s="39">
        <f>E78-D78+1</f>
        <v/>
      </c>
      <c r="G78" s="43" t="inlineStr">
        <is>
          <t>KEY</t>
        </is>
      </c>
      <c r="H78" s="41" t="inlineStr">
        <is>
          <t>קונפליקט סט 25.6 מול רשימת 7.7 + אילוץ חנן: 7 אובייקטים (כולל הסרט?) — הכרעת David חוסמת build · i7 + Neo, attract 12-18ש · 23.7: hero מאושר (חנן) וכבר על המסך · רעיון David למסך ארכיטקטורת סוכנים — דיון שבת 25.7</t>
        </is>
      </c>
    </row>
    <row r="79" ht="15" customHeight="1" s="27">
      <c r="A79" s="34" t="n">
        <v>47</v>
      </c>
      <c r="B79" s="35" t="inlineStr">
        <is>
          <t>תערוכה</t>
        </is>
      </c>
      <c r="C79" s="36" t="inlineStr">
        <is>
          <t>QR/הדפסת מסלול — takeaway פיזי למבקר</t>
        </is>
      </c>
      <c r="D79" s="37" t="n">
        <v>46216</v>
      </c>
      <c r="E79" s="37" t="n">
        <v>46219</v>
      </c>
      <c r="F79" s="34">
        <f>E79-D79+1</f>
        <v/>
      </c>
      <c r="G79" s="38" t="inlineStr">
        <is>
          <t>DESIGN</t>
        </is>
      </c>
      <c r="H79" s="36" t="inlineStr">
        <is>
          <t>פריסת הדפסה/QR; תלוי בפיצ'ר ה-export (משימה 32) · 7.7: חבילת דפוס דו-צדדית סופית — FRONT-v4 (ברקוד הוסר, שדה 30×30, הסימן נשאר) + BACK חדש (lockup + odysee.me) + brief v2. דו-צדדי אושר מול בית הדפוס — לשלוח עדכון הזמנה</t>
        </is>
      </c>
    </row>
    <row r="80" ht="15" customHeight="1" s="27">
      <c r="A80" s="39" t="inlineStr">
        <is>
          <t>47b</t>
        </is>
      </c>
      <c r="B80" s="40" t="inlineStr">
        <is>
          <t>תערוכה</t>
        </is>
      </c>
      <c r="C80" s="41" t="inlineStr">
        <is>
          <t>הזמנת הדפסת כרטיסי boarding pass</t>
        </is>
      </c>
      <c r="D80" s="42" t="n">
        <v>46216</v>
      </c>
      <c r="E80" s="42" t="n">
        <v>46223</v>
      </c>
      <c r="F80" s="39">
        <f>E80-D80+1</f>
        <v/>
      </c>
      <c r="G80" s="43" t="inlineStr">
        <is>
          <t>PRINT</t>
        </is>
      </c>
      <c r="H80" s="41" t="inlineStr">
        <is>
          <t>מול בית דפוס · מצע פיזי לתווית QL-800 (32b) · עיצוב תלוי בפריסת takeaway · הוזמן · צפי הגעה ~20.7</t>
        </is>
      </c>
    </row>
    <row r="81" ht="15" customHeight="1" s="27">
      <c r="A81" s="39" t="inlineStr">
        <is>
          <t>47c</t>
        </is>
      </c>
      <c r="B81" s="40" t="inlineStr">
        <is>
          <t>תערוכה</t>
        </is>
      </c>
      <c r="C81" s="41" t="inlineStr">
        <is>
          <t>רכש: גליל DK-22210 (רציף 29) + סטנד כרטיסים</t>
        </is>
      </c>
      <c r="D81" s="42" t="n">
        <v>46211</v>
      </c>
      <c r="E81" s="42" t="n">
        <v>46219</v>
      </c>
      <c r="F81" s="39">
        <f>E81-D81+1</f>
        <v/>
      </c>
      <c r="G81" s="43" t="inlineStr">
        <is>
          <t>HW</t>
        </is>
      </c>
      <c r="H81" s="41" t="inlineStr">
        <is>
          <t>גליל רציף 29מ"מ (לא die-cut) לתווית 29×29 — יש sample לבדיקת תבנית · סטנד ברושורים לשולחן (חנן 7.7) · 14.7: 2 גלילים נאספים היום · נותר: סטנד כרטיסים</t>
        </is>
      </c>
    </row>
    <row r="82" ht="15" customHeight="1" s="27">
      <c r="A82" s="34" t="n">
        <v>48</v>
      </c>
      <c r="B82" s="35" t="inlineStr">
        <is>
          <t>תערוכה</t>
        </is>
      </c>
      <c r="C82" s="36" t="inlineStr">
        <is>
          <t>הדפסת קאפות (לוח יציאות) — נשלח לדפוס</t>
        </is>
      </c>
      <c r="D82" s="37" t="n">
        <v>46219</v>
      </c>
      <c r="E82" s="37" t="n">
        <v>46230</v>
      </c>
      <c r="F82" s="34">
        <f>E82-D82+1</f>
        <v/>
      </c>
      <c r="G82" s="38" t="inlineStr">
        <is>
          <t>PRINT</t>
        </is>
      </c>
      <c r="H82" s="36" t="inlineStr">
        <is>
          <t>23.7: שלושת ה-PDF ‏(david_0546009000_120x240_1..3, ‏v2 שולי 2מ"מ אפויים) נשלחו למדפיס · cutouts אומתו פיזית · אין חיתוכים במפעל — David חותך במקום (CUTLINES.pdf v2) · איסוף: שני 27.7 · 810₪+מע"מ</t>
        </is>
      </c>
    </row>
    <row r="83" ht="15" customHeight="1" s="27">
      <c r="A83" s="39" t="n">
        <v>49</v>
      </c>
      <c r="B83" s="40" t="inlineStr">
        <is>
          <t>תערוכה</t>
        </is>
      </c>
      <c r="C83" s="41" t="inlineStr">
        <is>
          <t>הרכבת חומרה + בדיקות</t>
        </is>
      </c>
      <c r="D83" s="42" t="n">
        <v>46231</v>
      </c>
      <c r="E83" s="42" t="n">
        <v>46237</v>
      </c>
      <c r="F83" s="39">
        <f>E83-D83+1</f>
        <v/>
      </c>
      <c r="G83" s="43" t="inlineStr">
        <is>
          <t>HW</t>
        </is>
      </c>
      <c r="H83" s="41" t="inlineStr">
        <is>
          <t>שני 27.7: איסוף ציוד + קאפה (אחרי הדרכת גובה 09:00) · שלישי 28.7: הכנת קונסטרוקציית הקאפה. מסך 32″ הדמיות · רמקולים? · Jabra · כפתורים (קיבוע VESA-plate מתחת למסך, ~35° מעלה) · מדבקות כפתורים 25 מ״מ — קובץ דפוס הופק 19.7, ממתין לאימות test-fit לפני שליחה</t>
        </is>
      </c>
    </row>
    <row r="84" ht="15" customHeight="1" s="27">
      <c r="A84" s="39" t="inlineStr">
        <is>
          <t>50</t>
        </is>
      </c>
      <c r="B84" s="40" t="inlineStr">
        <is>
          <t>תערוכה</t>
        </is>
      </c>
      <c r="C84" s="41" t="inlineStr">
        <is>
          <t>✅ דימויים ליח"צ (לוח HIT)</t>
        </is>
      </c>
      <c r="D84" s="42" t="n">
        <v>46222</v>
      </c>
      <c r="E84" s="42" t="n">
        <v>46223</v>
      </c>
      <c r="F84" s="39">
        <f>E84-D84+1</f>
        <v/>
      </c>
      <c r="G84" s="43" t="inlineStr">
        <is>
          <t>CONTENT</t>
        </is>
      </c>
      <c r="H84" s="41" t="inlineStr">
        <is>
          <t>נסגר 19.7: לוגו Tico הועבר — מספיק בשלב זה</t>
        </is>
      </c>
    </row>
    <row r="85" ht="15" customHeight="1" s="27">
      <c r="A85" s="39" t="inlineStr">
        <is>
          <t>50b</t>
        </is>
      </c>
      <c r="B85" s="40" t="inlineStr">
        <is>
          <t>תערוכה</t>
        </is>
      </c>
      <c r="C85" s="41" t="inlineStr">
        <is>
          <t>תוכנית חשמל לגילת — נקודות לעמדה</t>
        </is>
      </c>
      <c r="D85" s="42" t="n">
        <v>46222</v>
      </c>
      <c r="E85" s="42" t="n">
        <v>46223</v>
      </c>
      <c r="F85" s="39">
        <f>E85-D85+1</f>
        <v/>
      </c>
      <c r="G85" s="43" t="inlineStr">
        <is>
          <t>KEY</t>
        </is>
      </c>
      <c r="H85" s="41" t="inlineStr">
        <is>
          <t>מסמך נבנה 19.7 (docx + סקיצת מבט-על, bidi תקין) · ציוד: M4 · 24″ live תלוי · 32″ הדמיות+i7 · QL-800 · 2×15″ USB · מודם · UPS · 617W≈2.7A · נותר: שליחה לגילת עד 20.7</t>
        </is>
      </c>
    </row>
    <row r="86" ht="15" customHeight="1" s="27">
      <c r="A86" s="39" t="inlineStr">
        <is>
          <t>50c</t>
        </is>
      </c>
      <c r="B86" s="40" t="inlineStr">
        <is>
          <t>תערוכה</t>
        </is>
      </c>
      <c r="C86" s="41" t="inlineStr">
        <is>
          <t>טבלת דרישות ציוד חשמל + הדמיה</t>
        </is>
      </c>
      <c r="D86" s="42" t="n">
        <v>46223</v>
      </c>
      <c r="E86" s="42" t="n">
        <v>46224</v>
      </c>
      <c r="F86" s="39">
        <f>E86-D86+1</f>
        <v/>
      </c>
      <c r="G86" s="43" t="inlineStr">
        <is>
          <t>KEY</t>
        </is>
      </c>
      <c r="H86" s="41" t="inlineStr">
        <is>
          <t>רק ציוד: כבלים/מפצלים + הדמיה ופרטים אישיים</t>
        </is>
      </c>
    </row>
    <row r="87" ht="15" customHeight="1" s="27">
      <c r="A87" s="39" t="inlineStr">
        <is>
          <t>51</t>
        </is>
      </c>
      <c r="B87" s="40" t="inlineStr">
        <is>
          <t>תערוכה</t>
        </is>
      </c>
      <c r="C87" s="41" t="inlineStr">
        <is>
          <t>✅ שליחת פוסטר לאישור יעל</t>
        </is>
      </c>
      <c r="D87" s="42" t="n">
        <v>46225</v>
      </c>
      <c r="E87" s="42" t="n">
        <v>46226</v>
      </c>
      <c r="F87" s="39">
        <f>E87-D87+1</f>
        <v/>
      </c>
      <c r="G87" s="43" t="inlineStr">
        <is>
          <t>KEY</t>
        </is>
      </c>
      <c r="H87" s="41" t="inlineStr">
        <is>
          <t>תנאי: אישור מנחה — חנן אישר קונספט 16.7 ✓ · 23.7: סבב שני (סופי) נשלח — v4 + כל תיקוני האוצרת · ממתין לאישור</t>
        </is>
      </c>
    </row>
    <row r="88" ht="15" customHeight="1" s="27">
      <c r="A88" s="39" t="inlineStr">
        <is>
          <t>51b</t>
        </is>
      </c>
      <c r="B88" s="40" t="inlineStr">
        <is>
          <t>תערוכה</t>
        </is>
      </c>
      <c r="C88" s="41" t="inlineStr">
        <is>
          <t>שליחת קובץ פוסטר למירי</t>
        </is>
      </c>
      <c r="D88" s="42" t="n">
        <v>46227</v>
      </c>
      <c r="E88" s="42" t="n">
        <v>46227</v>
      </c>
      <c r="F88" s="39">
        <f>E88-D88+1</f>
        <v/>
      </c>
      <c r="G88" s="43" t="inlineStr">
        <is>
          <t>PRINT</t>
        </is>
      </c>
      <c r="H88" s="41" t="inlineStr">
        <is>
          <t>מירי מדפיסה החל מ-26.7 · לברר מפרט קובץ (bleed/רזולוציה) · 22.7: לאמת שם בית הדפוס ('קאפה'? ר' Zami) · לוודא מפרט קובץ: bleed/safe zone, CMYK, 300dpi, Tico Orange לא כטקסט על רקע בהיר. · 23.7: הקובץ מוכן (QR תקין) — ממתין רק לאישור יעל</t>
        </is>
      </c>
    </row>
    <row r="89" ht="12" customHeight="1" s="27">
      <c r="A89" s="39" t="inlineStr">
        <is>
          <t>52</t>
        </is>
      </c>
      <c r="B89" s="40" t="inlineStr">
        <is>
          <t>תערוכה</t>
        </is>
      </c>
      <c r="C89" s="41" t="inlineStr">
        <is>
          <t>קבלת חדר התערוכה + עבודות מלכלכות</t>
        </is>
      </c>
      <c r="D89" s="42" t="n">
        <v>46227</v>
      </c>
      <c r="E89" s="42" t="n">
        <v>46227</v>
      </c>
      <c r="F89" s="39">
        <f>E89-D89+1</f>
        <v/>
      </c>
      <c r="G89" s="43" t="inlineStr">
        <is>
          <t>KEY</t>
        </is>
      </c>
      <c r="H89" s="41" t="inlineStr">
        <is>
          <t>מיום ראשון 26.7 ממקים בחדר — מלוכלך רק ב-24.7 · 23.7: ב-24.7 ניקיון בלבד — אין צורך בנוכחות David; מגיע שני 27.7</t>
        </is>
      </c>
    </row>
    <row r="90" ht="15" customHeight="1" s="27">
      <c r="A90" s="39" t="inlineStr">
        <is>
          <t>52b</t>
        </is>
      </c>
      <c r="B90" s="40" t="inlineStr">
        <is>
          <t>תערוכה</t>
        </is>
      </c>
      <c r="C90" s="41" t="inlineStr">
        <is>
          <t>הדרכת גובה 09:00</t>
        </is>
      </c>
      <c r="D90" s="42" t="n">
        <v>46230</v>
      </c>
      <c r="E90" s="42" t="n">
        <v>46230</v>
      </c>
      <c r="F90" s="39">
        <f>E90-D90+1</f>
        <v/>
      </c>
      <c r="G90" s="43" t="inlineStr">
        <is>
          <t>KEY</t>
        </is>
      </c>
      <c r="H90" s="41" t="inlineStr">
        <is>
          <t>דוד · שלומי · גילת · פליקס</t>
        </is>
      </c>
    </row>
    <row r="91" ht="15" customHeight="1" s="27">
      <c r="A91" s="39" t="inlineStr">
        <is>
          <t>52c</t>
        </is>
      </c>
      <c r="B91" s="40" t="inlineStr">
        <is>
          <t>תערוכה</t>
        </is>
      </c>
      <c r="C91" s="41" t="inlineStr">
        <is>
          <t>חשמלאי באתר — יוסי ישורון</t>
        </is>
      </c>
      <c r="D91" s="42" t="n">
        <v>46236</v>
      </c>
      <c r="E91" s="42" t="n">
        <v>46237</v>
      </c>
      <c r="F91" s="39">
        <f>E91-D91+1</f>
        <v/>
      </c>
      <c r="G91" s="43" t="inlineStr">
        <is>
          <t>HW</t>
        </is>
      </c>
      <c r="H91" s="41" t="inlineStr">
        <is>
          <t>עבודות רועשות מותרות רק ב-2.8, לא ב-3.8</t>
        </is>
      </c>
    </row>
    <row r="92" ht="15" customHeight="1" s="27">
      <c r="A92" s="39" t="inlineStr">
        <is>
          <t>52d</t>
        </is>
      </c>
      <c r="B92" s="40" t="inlineStr">
        <is>
          <t>תערוכה</t>
        </is>
      </c>
      <c r="C92" s="41" t="inlineStr">
        <is>
          <t>מצגת הגשה (כיתה 101)</t>
        </is>
      </c>
      <c r="D92" s="42" t="n">
        <v>46236</v>
      </c>
      <c r="E92" s="42" t="n">
        <v>46238</v>
      </c>
      <c r="F92" s="39">
        <f>E92-D92+1</f>
        <v/>
      </c>
      <c r="G92" s="43" t="inlineStr">
        <is>
          <t>DOCS</t>
        </is>
      </c>
      <c r="H92" s="41" t="inlineStr">
        <is>
          <t>~שעתיים · על בסיס דקים קיימים (v10)</t>
        </is>
      </c>
    </row>
    <row r="93" ht="15" customHeight="1" s="27">
      <c r="A93" s="39" t="inlineStr">
        <is>
          <t>52e</t>
        </is>
      </c>
      <c r="B93" s="40" t="inlineStr">
        <is>
          <t>תערוכה</t>
        </is>
      </c>
      <c r="C93" s="41" t="inlineStr">
        <is>
          <t>משמרות ליווי במתחם — שיריון</t>
        </is>
      </c>
      <c r="D93" s="42" t="n">
        <v>46240</v>
      </c>
      <c r="E93" s="42" t="n">
        <v>46253</v>
      </c>
      <c r="F93" s="39">
        <f>E93-D93+1</f>
        <v/>
      </c>
      <c r="G93" s="43" t="inlineStr">
        <is>
          <t>KEY</t>
        </is>
      </c>
      <c r="H93" s="41" t="inlineStr">
        <is>
          <t>מול אריאל ושקד</t>
        </is>
      </c>
    </row>
    <row r="94" ht="15" customHeight="1" s="27">
      <c r="A94" s="39" t="inlineStr">
        <is>
          <t>52f</t>
        </is>
      </c>
    </row>
    <row r="95" ht="15" customHeight="1" s="27">
      <c r="A95" s="39" t="n"/>
    </row>
    <row r="96" ht="15" customHeight="1" s="27">
      <c r="A96" s="39" t="n"/>
    </row>
    <row r="97" ht="15" customHeight="1" s="27">
      <c r="A97" s="39" t="n"/>
    </row>
    <row r="98" ht="15" customHeight="1" s="27">
      <c r="A98" s="33" t="inlineStr">
        <is>
          <t xml:space="preserve">  אבני דרך — Milestones</t>
        </is>
      </c>
    </row>
    <row r="99" ht="15" customHeight="1" s="27">
      <c r="A99" s="34" t="n">
        <v>53</v>
      </c>
      <c r="B99" s="35" t="inlineStr">
        <is>
          <t>אבן דרך</t>
        </is>
      </c>
      <c r="C99" s="36" t="inlineStr">
        <is>
          <t>📌 פגישת מנחה</t>
        </is>
      </c>
      <c r="D99" s="37" t="n">
        <v>46175</v>
      </c>
      <c r="E99" s="37" t="n">
        <v>46175</v>
      </c>
      <c r="F99" s="34">
        <f>E99-D99+1</f>
        <v/>
      </c>
      <c r="G99" s="38" t="inlineStr">
        <is>
          <t>KEY</t>
        </is>
      </c>
      <c r="H99" s="36" t="inlineStr">
        <is>
          <t>מגדיר את דרישות הצגת הביניים</t>
        </is>
      </c>
    </row>
    <row r="100" ht="15" customHeight="1" s="27">
      <c r="A100" s="39" t="n">
        <v>54</v>
      </c>
      <c r="B100" s="40" t="inlineStr">
        <is>
          <t>אבן דרך</t>
        </is>
      </c>
      <c r="C100" s="41" t="inlineStr">
        <is>
          <t>📌 הצגת ביניים</t>
        </is>
      </c>
      <c r="D100" s="42" t="n">
        <v>46189</v>
      </c>
      <c r="E100" s="42" t="n">
        <v>46189</v>
      </c>
      <c r="F100" s="39">
        <f>E100-D100+1</f>
        <v/>
      </c>
      <c r="G100" s="43" t="inlineStr">
        <is>
          <t>KEY</t>
        </is>
      </c>
      <c r="H100" s="41" t="inlineStr">
        <is>
          <t>יום שלישי 16.6 · deck v10 + presenter notes מוכנים · חזרה אחרונה 15.6 ערב · האתר לא מוצג</t>
        </is>
      </c>
    </row>
    <row r="101" ht="15" customHeight="1" s="27">
      <c r="A101" s="34" t="inlineStr">
        <is>
          <t>54b</t>
        </is>
      </c>
      <c r="B101" s="35" t="inlineStr">
        <is>
          <t>אבן דרך</t>
        </is>
      </c>
      <c r="C101" s="36" t="inlineStr">
        <is>
          <t>📌 הצגת video board לחנן</t>
        </is>
      </c>
      <c r="D101" s="37" t="n">
        <v>46210</v>
      </c>
      <c r="E101" s="37" t="n">
        <v>46210</v>
      </c>
      <c r="F101" s="34">
        <f>E101-D101+1</f>
        <v/>
      </c>
      <c r="G101" s="38" t="inlineStr">
        <is>
          <t>KEY</t>
        </is>
      </c>
      <c r="H101" s="36" t="inlineStr">
        <is>
          <t>יעד סיום board 06.07 · הצגת זיכרון-אור (במקום iPad) לאישור</t>
        </is>
      </c>
    </row>
    <row r="102" ht="15" customHeight="1" s="27">
      <c r="A102" s="34" t="inlineStr">
        <is>
          <t>54c</t>
        </is>
      </c>
      <c r="B102" s="35" t="inlineStr">
        <is>
          <t>אבן דרך</t>
        </is>
      </c>
      <c r="C102" s="36" t="inlineStr">
        <is>
          <t>📌 אישור אוצרת — קיר/מידות/מיקום</t>
        </is>
      </c>
      <c r="D102" s="37" t="n">
        <v>46218</v>
      </c>
      <c r="E102" s="37" t="n">
        <v>46218</v>
      </c>
      <c r="F102" s="34">
        <f>E102-D102+1</f>
        <v/>
      </c>
      <c r="G102" s="38" t="inlineStr">
        <is>
          <t>KEY</t>
        </is>
      </c>
      <c r="H102" s="36" t="inlineStr">
        <is>
          <t>חוסם הדפסת קאפות לוח היציאות</t>
        </is>
      </c>
    </row>
    <row r="103" ht="15" customHeight="1" s="27">
      <c r="A103" s="34" t="inlineStr">
        <is>
          <t>54d</t>
        </is>
      </c>
      <c r="B103" s="35" t="inlineStr">
        <is>
          <t>אבן דרך</t>
        </is>
      </c>
      <c r="C103" s="36" t="inlineStr">
        <is>
          <t>📌 תחילת soak 14 ימים</t>
        </is>
      </c>
      <c r="D103" s="37" t="n">
        <v>46223</v>
      </c>
      <c r="E103" s="37" t="n">
        <v>46223</v>
      </c>
      <c r="F103" s="34">
        <f>E103-D103+1</f>
        <v/>
      </c>
      <c r="G103" s="38" t="inlineStr">
        <is>
          <t>KEY</t>
        </is>
      </c>
      <c r="H103" s="36" t="inlineStr">
        <is>
          <t>על ה-Mac mini, ללא השגחה — התנאי: deploy הושלם</t>
        </is>
      </c>
    </row>
    <row r="104" ht="15" customHeight="1" s="27">
      <c r="A104" s="39" t="n">
        <v>55</v>
      </c>
      <c r="B104" s="40" t="inlineStr">
        <is>
          <t>אבן דרך</t>
        </is>
      </c>
      <c r="C104" s="41" t="inlineStr">
        <is>
          <t>📌 הקפאת ספר</t>
        </is>
      </c>
      <c r="D104" s="42" t="n">
        <v>46228</v>
      </c>
      <c r="E104" s="42" t="n">
        <v>46228</v>
      </c>
      <c r="F104" s="39">
        <f>E104-D104+1</f>
        <v/>
      </c>
      <c r="G104" s="43" t="inlineStr">
        <is>
          <t>KEY</t>
        </is>
      </c>
      <c r="H104" s="41" t="inlineStr">
        <is>
          <t>הוקדם מ-26.7: הגהה נסגרת שבת צהריים → build + הזמנת Lupa שבת בערב</t>
        </is>
      </c>
    </row>
    <row r="105" ht="15" customHeight="1" s="27">
      <c r="A105" s="34" t="n">
        <v>56</v>
      </c>
      <c r="B105" s="35" t="inlineStr">
        <is>
          <t>אבן דרך</t>
        </is>
      </c>
      <c r="C105" s="36" t="inlineStr">
        <is>
          <t>📌 dry-run מלא בתנאי תערוכה</t>
        </is>
      </c>
      <c r="D105" s="37" t="n">
        <v>46237</v>
      </c>
      <c r="E105" s="37" t="n">
        <v>46239</v>
      </c>
      <c r="F105" s="34">
        <f>E105-D105+1</f>
        <v/>
      </c>
      <c r="G105" s="38" t="inlineStr">
        <is>
          <t>KEY</t>
        </is>
      </c>
      <c r="H105" s="36" t="inlineStr">
        <is>
          <t>ריצה מלאה כמו יום הפתיחה</t>
        </is>
      </c>
    </row>
    <row r="106" ht="15" customHeight="1" s="27">
      <c r="A106" s="34" t="inlineStr">
        <is>
          <t>56c</t>
        </is>
      </c>
      <c r="B106" s="35" t="inlineStr">
        <is>
          <t>אבן דרך</t>
        </is>
      </c>
      <c r="C106" s="36" t="inlineStr">
        <is>
          <t>📌 ביקורת ג'ורי במקום (מיצב עובד ~90%)</t>
        </is>
      </c>
      <c r="D106" s="37" t="n">
        <v>46238</v>
      </c>
      <c r="E106" s="37" t="n">
        <v>46238</v>
      </c>
      <c r="F106" s="34">
        <f>E106-D106+1</f>
        <v/>
      </c>
      <c r="G106" s="38" t="inlineStr">
        <is>
          <t>KEY</t>
        </is>
      </c>
      <c r="H106" s="36" t="inlineStr">
        <is>
          <t>יומיים לפני הפתיחה, במקום, על מיצב מונח ועובד (חנן 7.7) — הדדליין האפקטיבי של "הכל עובד"</t>
        </is>
      </c>
    </row>
    <row r="107" ht="15" customHeight="1" s="27">
      <c r="A107" s="39" t="n">
        <v>57</v>
      </c>
      <c r="B107" s="40" t="inlineStr">
        <is>
          <t>אבן דרך</t>
        </is>
      </c>
      <c r="C107" s="41" t="inlineStr">
        <is>
          <t>📌 הגשה סופית + מצגת (כיתה 101)</t>
        </is>
      </c>
      <c r="D107" s="42" t="n">
        <v>46238</v>
      </c>
      <c r="E107" s="42" t="n">
        <v>46238</v>
      </c>
      <c r="F107" s="39">
        <f>E107-D107+1</f>
        <v/>
      </c>
      <c r="G107" s="43" t="inlineStr">
        <is>
          <t>SUBMIT</t>
        </is>
      </c>
      <c r="H107" s="41" t="inlineStr">
        <is>
          <t>ההגשה בכיתה 101 — מומלץ מצגת · הספר עצמו: דיגיטלית עד 30.8</t>
        </is>
      </c>
    </row>
    <row r="108" ht="15" customHeight="1" s="27">
      <c r="A108" s="34" t="n">
        <v>58</v>
      </c>
      <c r="B108" s="35" t="inlineStr">
        <is>
          <t>אבן דרך</t>
        </is>
      </c>
      <c r="C108" s="36" t="inlineStr">
        <is>
          <t>📌 פתיחת תערוכה</t>
        </is>
      </c>
      <c r="D108" s="37" t="n">
        <v>46240</v>
      </c>
      <c r="E108" s="37" t="n">
        <v>46240</v>
      </c>
      <c r="F108" s="34">
        <f>E108-D108+1</f>
        <v/>
      </c>
      <c r="G108" s="38" t="inlineStr">
        <is>
          <t>LIVE</t>
        </is>
      </c>
      <c r="H108" s="36" t="n"/>
    </row>
    <row r="109" ht="15" customHeight="1" s="27">
      <c r="A109" s="34" t="inlineStr">
        <is>
          <t>57b</t>
        </is>
      </c>
      <c r="B109" s="35" t="inlineStr">
        <is>
          <t>אבן דרך</t>
        </is>
      </c>
      <c r="C109" s="36" t="inlineStr">
        <is>
          <t>📌 הגשת ספר דיגיטלית לעדי</t>
        </is>
      </c>
      <c r="D109" s="37" t="n">
        <v>46264</v>
      </c>
      <c r="E109" s="37" t="n">
        <v>46264</v>
      </c>
      <c r="F109" s="34">
        <f>E109-D109+1</f>
        <v/>
      </c>
      <c r="G109" s="38" t="inlineStr">
        <is>
          <t>SUBMIT</t>
        </is>
      </c>
      <c r="H109" s="36" t="inlineStr">
        <is>
          <t>adifr@hit.ac.il · לא חלק מהתערוכה · שינויים אחרי הדפוס — דיגיטלית בלבד</t>
        </is>
      </c>
    </row>
  </sheetData>
  <mergeCells count="14">
    <mergeCell ref="A1:H1"/>
    <mergeCell ref="A30:H30"/>
    <mergeCell ref="A55:H55"/>
    <mergeCell ref="A5:H5"/>
    <mergeCell ref="A20:H20"/>
    <mergeCell ref="A95:H95"/>
    <mergeCell ref="A2:H2"/>
    <mergeCell ref="A54:H54"/>
    <mergeCell ref="A63:H63"/>
    <mergeCell ref="A64:H64"/>
    <mergeCell ref="A96:H96"/>
    <mergeCell ref="A94:H94"/>
    <mergeCell ref="A31:H31"/>
    <mergeCell ref="A97:H9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6" min="1" max="1"/>
    <col width="30" customWidth="1" style="26" min="2" max="2"/>
    <col width="14" customWidth="1" style="26" min="3" max="4"/>
    <col width="12" customWidth="1" style="26" min="5" max="5"/>
    <col width="60" customWidth="1" style="26" min="6" max="6"/>
  </cols>
  <sheetData>
    <row r="1" ht="17.25" customHeight="1" s="27">
      <c r="A1" s="44" t="inlineStr">
        <is>
          <t>Track Summary</t>
        </is>
      </c>
    </row>
    <row r="2" ht="15" customHeight="1" s="27">
      <c r="A2" s="30" t="inlineStr">
        <is>
          <t>Track</t>
        </is>
      </c>
      <c r="B2" s="30" t="inlineStr">
        <is>
          <t>Name</t>
        </is>
      </c>
      <c r="C2" s="30" t="inlineStr">
        <is>
          <t>Start</t>
        </is>
      </c>
      <c r="D2" s="30" t="inlineStr">
        <is>
          <t>End</t>
        </is>
      </c>
      <c r="E2" s="30" t="inlineStr">
        <is>
          <t>Duration</t>
        </is>
      </c>
      <c r="F2" s="30" t="inlineStr">
        <is>
          <t>Focus</t>
        </is>
      </c>
    </row>
    <row r="3" ht="15" customHeight="1" s="27">
      <c r="A3" s="45" t="inlineStr">
        <is>
          <t>ספר</t>
        </is>
      </c>
      <c r="B3" s="45" t="inlineStr">
        <is>
          <t>ספר</t>
        </is>
      </c>
      <c r="C3" s="46">
        <f>MIN('Project Plan'!D6:D19)</f>
        <v/>
      </c>
      <c r="D3" s="46">
        <f>MAX('Project Plan'!E6:E19)</f>
        <v/>
      </c>
      <c r="E3" s="47">
        <f>D3-C3+1</f>
        <v/>
      </c>
      <c r="F3" s="48" t="inlineStr">
        <is>
          <t>תוכן נסגר 23.7 (איורים + ביבליוגרפיה ✅) · הגהה אחרונה עד שבת 25.7 צהריים · Lupa build+הזמנה 25.7 בערב · דפוס בית-דפוס לא חובה (הגשה דיגיטלית 30.8)</t>
        </is>
      </c>
    </row>
    <row r="4" ht="15" customHeight="1" s="27">
      <c r="A4" s="45" t="inlineStr">
        <is>
          <t>אתר</t>
        </is>
      </c>
      <c r="B4" s="45" t="inlineStr">
        <is>
          <t>אתר</t>
        </is>
      </c>
      <c r="C4" s="46">
        <f>MIN('Project Plan'!D22:D29)</f>
        <v/>
      </c>
      <c r="D4" s="46">
        <f>MAX('Project Plan'!E22:E29)</f>
        <v/>
      </c>
      <c r="E4" s="47">
        <f>D4-C4+1</f>
        <v/>
      </c>
      <c r="F4" s="48" t="inlineStr">
        <is>
          <t>מיגרציה + design-system + agents ✅ · נותר: פונט/favicon, איחוד טוקנים, exhibition, QA, מיזוג</t>
        </is>
      </c>
    </row>
    <row r="5" ht="15" customHeight="1" s="27">
      <c r="A5" s="45" t="inlineStr">
        <is>
          <t>אפליקציה</t>
        </is>
      </c>
      <c r="B5" s="45" t="inlineStr">
        <is>
          <t>אפליקציה + דמו</t>
        </is>
      </c>
      <c r="C5" s="46">
        <f>MIN('Project Plan'!D33:D53)</f>
        <v/>
      </c>
      <c r="D5" s="46">
        <f>MAX('Project Plan'!E33:E53)</f>
        <v/>
      </c>
      <c r="E5" s="47">
        <f>D5-C5+1</f>
        <v/>
      </c>
      <c r="F5" s="48" t="inlineStr">
        <is>
          <t>✅ pilot 21.7 (6 בודקים, Elgato) · deploy אומת במיקום · נותר לפני 6.8: אודיו-גישור ללטנסי · 3 באגים (geocoding/רינדור/קוביות) · הקשחות · demo-mode · attract · QA · ES/FR spike (nice-to-have)</t>
        </is>
      </c>
    </row>
    <row r="6" ht="15" customHeight="1" s="27">
      <c r="A6" s="45" t="inlineStr">
        <is>
          <t>סרט</t>
        </is>
      </c>
      <c r="B6" s="45" t="inlineStr">
        <is>
          <t>סרט Hero</t>
        </is>
      </c>
      <c r="C6" s="46">
        <f>MIN('Project Plan'!D57:D62)</f>
        <v/>
      </c>
      <c r="D6" s="46">
        <f>MAX('Project Plan'!E57:E62)</f>
        <v/>
      </c>
      <c r="E6" s="47">
        <f>D6-C6+1</f>
        <v/>
      </c>
      <c r="F6" s="48" t="inlineStr">
        <is>
          <t>P1–P10 ✅ · composite+שוט13 עד 6.7 · HD+מוזיקה אחרי 7.7</t>
        </is>
      </c>
    </row>
    <row r="7" ht="15" customHeight="1" s="27">
      <c r="A7" s="45" t="inlineStr">
        <is>
          <t>תערוכה</t>
        </is>
      </c>
      <c r="B7" s="45" t="inlineStr">
        <is>
          <t>תערוכה / לוגיסטיקה</t>
        </is>
      </c>
      <c r="C7" s="46">
        <f>MIN('Project Plan'!D66:D93)</f>
        <v/>
      </c>
      <c r="D7" s="46">
        <f>MAX('Project Plan'!E66:E93)</f>
        <v/>
      </c>
      <c r="E7" s="47">
        <f>D7-C7+1</f>
        <v/>
      </c>
      <c r="F7" s="48" t="inlineStr">
        <is>
          <t>פוסטר: סופי נשלח ליעל 23.7 → מירי 24.7 · קאפה בדפוס — איסוף 27.7 · מבחן מיקרופון ביתי 24.7 → הכרעה · גובה 27.7 · קונסטרוקציית קאפה 28.7 · חשמלאי 2–3.8 · פירוק 20.8</t>
        </is>
      </c>
    </row>
    <row r="8" ht="15" customHeight="1" s="27">
      <c r="A8" s="45" t="inlineStr">
        <is>
          <t>אבן דרך</t>
        </is>
      </c>
      <c r="B8" s="45" t="inlineStr">
        <is>
          <t>אבני דרך</t>
        </is>
      </c>
      <c r="C8" s="46">
        <f>MIN('Project Plan'!D99:D109)</f>
        <v/>
      </c>
      <c r="D8" s="46">
        <f>MAX('Project Plan'!E99:E109)</f>
        <v/>
      </c>
      <c r="E8" s="47">
        <f>D8-C8+1</f>
        <v/>
      </c>
      <c r="F8" s="48" t="inlineStr">
        <is>
          <t>soak רץ מ-19.7 · freeze 25.7 (הוקדם) · dry-run 3.8 · ג׳ורי במקום 4.8 · הגשה+מצגת 4.8 · פתיחה 6.8 · ספר דיגיטלי 30.8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2026-03-28T09:29:11Z</dcterms:created>
  <dcterms:modified xmlns:dcterms="http://purl.org/dc/terms/" xmlns:xsi="http://www.w3.org/2001/XMLSchema-instance" xsi:type="dcterms:W3CDTF">2026-07-23T16:57:07Z</dcterms:modified>
  <cp:lastModifiedBy>דייויד קסטיאל</cp:lastModifiedBy>
  <cp:revision>0</cp:revision>
  <cp:lastPrinted>2026-03-31T05:59:50Z</cp:lastPrinted>
</cp:coreProperties>
</file>