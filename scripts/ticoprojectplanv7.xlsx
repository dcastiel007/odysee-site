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Plan" sheetId="1" state="visible" r:id="rId3"/>
    <sheet name="Track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<sst xmlns="http://schemas.openxmlformats.org/spreadsheetml/2006/main" count="433" uniqueCount="267">
  <si>
    <t xml:space="preserve">Odysee — Personal AI Travel Companion · Project Plan</t>
  </si>
  <si>
    <r>
      <rPr>
        <sz val="10"/>
        <color rgb="FF8A8070"/>
        <rFont val="Calibri"/>
        <family val="0"/>
        <charset val="1"/>
      </rPr>
      <t xml:space="preserve">David Castiel | M.Design · HIT | </t>
    </r>
    <r>
      <rPr>
        <sz val="10"/>
        <color rgb="FF8A8070"/>
        <rFont val="FreeSans"/>
        <family val="2"/>
      </rPr>
      <t xml:space="preserve">הגשת ספר </t>
    </r>
    <r>
      <rPr>
        <sz val="10"/>
        <color rgb="FF8A8070"/>
        <rFont val="Calibri"/>
        <family val="0"/>
        <charset val="1"/>
      </rPr>
      <t xml:space="preserve">4.8.2026 · </t>
    </r>
    <r>
      <rPr>
        <sz val="10"/>
        <color rgb="FF8A8070"/>
        <rFont val="FreeSans"/>
        <family val="2"/>
      </rPr>
      <t xml:space="preserve">תערוכה </t>
    </r>
    <r>
      <rPr>
        <sz val="10"/>
        <color rgb="FF8A8070"/>
        <rFont val="Calibri"/>
        <family val="0"/>
        <charset val="1"/>
      </rPr>
      <t xml:space="preserve">6–19.8.2026 | </t>
    </r>
    <r>
      <rPr>
        <sz val="10"/>
        <color rgb="FF8A8070"/>
        <rFont val="FreeSans"/>
        <family val="2"/>
      </rPr>
      <t xml:space="preserve">עודכן </t>
    </r>
    <r>
      <rPr>
        <sz val="10"/>
        <color rgb="FF8A8070"/>
        <rFont val="Calibri"/>
        <family val="0"/>
        <charset val="1"/>
      </rPr>
      <t xml:space="preserve">22.07.2026 — </t>
    </r>
    <r>
      <rPr>
        <sz val="10"/>
        <color rgb="FF8A8070"/>
        <rFont val="FreeSans"/>
        <family val="2"/>
      </rPr>
      <t xml:space="preserve">חלק מהתאריכים </t>
    </r>
    <r>
      <rPr>
        <sz val="10"/>
        <color rgb="FF8A8070"/>
        <rFont val="Calibri"/>
        <family val="0"/>
        <charset val="1"/>
      </rPr>
      <t xml:space="preserve">strawman, </t>
    </r>
    <r>
      <rPr>
        <sz val="10"/>
        <color rgb="FF8A8070"/>
        <rFont val="FreeSans"/>
        <family val="2"/>
      </rPr>
      <t xml:space="preserve">לאימות</t>
    </r>
  </si>
  <si>
    <t xml:space="preserve">#</t>
  </si>
  <si>
    <t xml:space="preserve">פאזה</t>
  </si>
  <si>
    <t xml:space="preserve">משימה</t>
  </si>
  <si>
    <t xml:space="preserve">תאריך התחלה</t>
  </si>
  <si>
    <t xml:space="preserve">תאריך סיום</t>
  </si>
  <si>
    <t xml:space="preserve">משך (ימים)</t>
  </si>
  <si>
    <t xml:space="preserve">סטטוס</t>
  </si>
  <si>
    <t xml:space="preserve">הערות</t>
  </si>
  <si>
    <t xml:space="preserve">  ספר — Book (freeze ~26.7 · הגשה 4.8)</t>
  </si>
  <si>
    <t xml:space="preserve">ספר</t>
  </si>
  <si>
    <t xml:space="preserve">✅ פרקים 1–6 (טיוטה)</t>
  </si>
  <si>
    <t xml:space="preserve">DOCS</t>
  </si>
  <si>
    <t xml:space="preserve">מבוא·רקע·קונספט·ארכיטקטורה·UX·מערכת עיצוב — טיוטה גמורה</t>
  </si>
  <si>
    <t xml:space="preserve">✅ פרק 8 "הדור הבא" + ביבליוגרפיה (41)</t>
  </si>
  <si>
    <t xml:space="preserve">נכתב ושולב; הדיון הפך לפרק 9</t>
  </si>
  <si>
    <t xml:space="preserve">✅ איורים פרקים 2/4/5 (וקטורי)</t>
  </si>
  <si>
    <t xml:space="preserve">DESIGN</t>
  </si>
  <si>
    <t xml:space="preserve">משפך אמון · מפת 11 סוכנים · journey map · 5 מסכים</t>
  </si>
  <si>
    <t xml:space="preserve">✅ שכתוב פרק 6 ל-Brand V5</t>
  </si>
  <si>
    <t xml:space="preserve">מתעד מותג בן-שני-דורות; יחד עם design-system.html</t>
  </si>
  <si>
    <t xml:space="preserve">אימות ביבליוגרפיה + תיקון רינדור bidi</t>
  </si>
  <si>
    <t xml:space="preserve">KEY</t>
  </si>
  <si>
    <t xml:space="preserve">Phocuswright מאומת 9.6 (March · URL נחיתה · author תאגידי) · 89%=Booking ✓ · נותר: Chile 21.383 · פטנט Apple · Nature MI · +תיקון bidi בביבליוגרפיה — רשומות לטיניות מתבלגנות (סוגריים/אותיות) בכל הרשומות · סיכון בוחן · Phocuswright+89%=Booking מאומתים; נותר Chile/Apple/Nature</t>
  </si>
  <si>
    <t xml:space="preserve">6b</t>
  </si>
  <si>
    <t xml:space="preserve">✅ תיקון bidi ל-citations בגוף (\citep הפוך)</t>
  </si>
  <si>
    <t xml:space="preserve">✅ בקוד (\RenewDocumentCommand+\textenglish) — נותר אימות רנדר על PDF בלבד</t>
  </si>
  <si>
    <t xml:space="preserve">עריכת ניסוחים — כל הפרקים (Word flow)</t>
  </si>
  <si>
    <t xml:space="preserve">CONTENT</t>
  </si>
  <si>
    <t xml:space="preserve">David עורך ב-Word → החלה עדינה על ה-tex</t>
  </si>
  <si>
    <t xml:space="preserve">פרק 7 (תערוכה)</t>
  </si>
  <si>
    <t xml:space="preserve">חסום ל-spec + מיפוי סוף יוני · 14.7: spec צפוי להיסגר היום — פותחים את הפרק מיד אחריו</t>
  </si>
  <si>
    <t xml:space="preserve">פרק 9 (דיון)</t>
  </si>
  <si>
    <t xml:space="preserve">subsection קונסולידציה/מיקום (companion≠oracle) נוסף ואומת מול הדו״ח 9.6 (64/81/68 תוקנו: קטגוריה מול ChatGPT) · יתר הפרק לקראת הסוף</t>
  </si>
  <si>
    <t xml:space="preserve">Abstract אנגלית + עברית</t>
  </si>
  <si>
    <t xml:space="preserve">לפי תקנון HIT</t>
  </si>
  <si>
    <t xml:space="preserve">10b</t>
  </si>
  <si>
    <t xml:space="preserve">איורים לספר — סבב השלמה (כולל פיגורת לוגו + משפט-יישוב פ׳8)</t>
  </si>
  <si>
    <t xml:space="preserve">הפריט הפתוח הגדול בספר — כמעט אין איורים · מיזוג משימה 5</t>
  </si>
  <si>
    <t xml:space="preserve">הקפאת תוכן + הגהה + בנייה סופית</t>
  </si>
  <si>
    <t xml:space="preserve">freeze מוקדם — לא ב-4.8</t>
  </si>
  <si>
    <t xml:space="preserve">11b</t>
  </si>
  <si>
    <t xml:space="preserve">הדפסת ספר A4 כריכה רכה — אופציונלי</t>
  </si>
  <si>
    <t xml:space="preserve">PRINT</t>
  </si>
  <si>
    <t xml:space="preserve">לא חובה — ההגשה הרשמית דיגיטלית עד 30.8 · עותק התצוגה לתערוכה = Lupa (11c) · אם מדפיסים: אחרי התערוכה, ללא לחץ</t>
  </si>
  <si>
    <t xml:space="preserve">11c</t>
  </si>
  <si>
    <t xml:space="preserve">עותק תצוגה Lupa (קלאסי פלוס, כריכה קשה)</t>
  </si>
  <si>
    <t xml:space="preserve">build ייעודי 21.7×28 (main-lupa.pdf, safe zone 8מ"מ) → JPG 300dpi לכל עמוד → הזמנה מיד אחרי ה-freeze · 243₪ · קבלה לפני 6.8</t>
  </si>
  <si>
    <t xml:space="preserve">  אתר — Site (rebrand-v5 → main)</t>
  </si>
  <si>
    <t xml:space="preserve">אתר</t>
  </si>
  <si>
    <t xml:space="preserve">✅ מיגרציה Brand v1.0 + IA + next-generation</t>
  </si>
  <si>
    <t xml:space="preserve">5 עמודים + book/exhibition Coming Soon</t>
  </si>
  <si>
    <t xml:space="preserve">✅ rebrand V5: 8 לוגואים→פנים + צבעים</t>
  </si>
  <si>
    <t xml:space="preserve">ענף rebrand-v5</t>
  </si>
  <si>
    <t xml:space="preserve">✅ שכתוב design-system.html + hero-mark→פנים</t>
  </si>
  <si>
    <t xml:space="preserve">יחד עם פרק 6 בספר</t>
  </si>
  <si>
    <t xml:space="preserve">✅ תיקון agents.html ל-4 סוכנים חיים</t>
  </si>
  <si>
    <t xml:space="preserve">FIX</t>
  </si>
  <si>
    <t xml:space="preserve">סתירה ספר↔אתר (AGT-04 עדיין קונספטואלי באתר)</t>
  </si>
  <si>
    <t xml:space="preserve">Plus Jakarta Sans (גוף) + favicon.svg</t>
  </si>
  <si>
    <t xml:space="preserve">DEV</t>
  </si>
  <si>
    <t xml:space="preserve">עברית נשארת Heebo</t>
  </si>
  <si>
    <t xml:space="preserve">איחוד .brand-mark*+טוקנים לקובץ משותף</t>
  </si>
  <si>
    <t xml:space="preserve">חוב טכני — לפני שינויי מותג נוספים</t>
  </si>
  <si>
    <t xml:space="preserve">exhibition.html</t>
  </si>
  <si>
    <t xml:space="preserve">חסום ל-spec של HIT</t>
  </si>
  <si>
    <t xml:space="preserve">QA light/dark/mobile/RTL + OG image</t>
  </si>
  <si>
    <t xml:space="preserve">QA</t>
  </si>
  <si>
    <t xml:space="preserve">  אפליקציה + דמו — App &amp; Demo  ◀ נתיב קריטי</t>
  </si>
  <si>
    <t xml:space="preserve">אפליקציה</t>
  </si>
  <si>
    <t xml:space="preserve">✅ pipeline עובד (STT→agents→TTS)</t>
  </si>
  <si>
    <t xml:space="preserve">רץ יחסית טוב</t>
  </si>
  <si>
    <t xml:space="preserve">✅ 4 סוכנים עובדים בעיקרון (01/02/04/06)</t>
  </si>
  <si>
    <t xml:space="preserve">IMPL</t>
  </si>
  <si>
    <t xml:space="preserve">✅ tico-orb כפנים (idle/listen/think/speak)</t>
  </si>
  <si>
    <t xml:space="preserve">state machine + Web Audio</t>
  </si>
  <si>
    <t xml:space="preserve">עיצוב + ליטוש UI של הדמו</t>
  </si>
  <si>
    <t xml:space="preserve">"חסר לא מעט" — לב הנתיב הקריטי · 7.7: הצצה-משמאל (fix-4) הוצגה ואושרה ע"י חנן (טרם commit). spec ממנו ל-thinking: 3 נקודות + אישונים למעלה. משפט-פתיחה לפני tool ראשון = win מיידי ללטנטיות (חנן: "10 שניות לא מקובל") · 21.7: פתרון הלטנסי עבר לאודיו גישור (36c) אחרי שממצא לוג הראה ש-sentence chunking כבר קיים בצנרת.</t>
  </si>
  <si>
    <t xml:space="preserve">✅ חיבור tico-orb ל-TTS envelope + VAD</t>
  </si>
  <si>
    <t xml:space="preserve">פה לפי אמפליטודה; מעברי-מצב · מסומן סגור 14.7 (~90%) — אימות סופי במסגרת QA (35)</t>
  </si>
  <si>
    <t xml:space="preserve">✅ AGT-06 אימות מקצה-לקצה</t>
  </si>
  <si>
    <t xml:space="preserve">frontend לא אומת בזרימה מלאה · אומת שוב ושוב בריצות e2e מלאות מאז יוני</t>
  </si>
  <si>
    <t xml:space="preserve">✅ מודל PTT (tap+VAD) + טריגר כפתור פיזי (Pico HID→F13)</t>
  </si>
  <si>
    <t xml:space="preserve">ליבה אומתה e2e 14.6: החלטה tap-to-open + VAD סוגר (לא hold). arcade button → Pico 2W (CircuitPython 10.2.1) → HID keystroke F13 → keydown ב-app.js (bindDisplayHotkeys, ענף else-if) → send(start_listening). אומת עם jumper GP21↔GND; Tico עבר ל-listening. רכיבים הוזמנו מ-Ali (~שבועיים): כפתור 30mm 5V clear ×10 · amber LED 5V prewired · טרנזיסטורים · נגדים · breadboard · jumpers. נותר: הרכבת כפתור כשמגיע · שכבת LED מונעת-מצב (GP16+טרנזיסטור, קוד מוכן) · commit app.js. אותו דפוס keystroke→WS פותח גם טריגר פיזי ל-takeaway (משימה 32). · 7.7: הוחלט כפתור פיזי שני 🎫 ל-takeaway על אותו Pico (GPIO פנוי → F14). 6 כפתורים הגיעו — 2 לפלינת, השאר רזרבה. מארז: הלחמה+hot-glue (לא breadboard), step drill, מדידת קוטר לפני קידוח</t>
  </si>
  <si>
    <t xml:space="preserve">demo-mode לנפילת רשת (fallback ל-6 APIs)</t>
  </si>
  <si>
    <t xml:space="preserve">המודם עובד (7.7) · היקף ריאלי: graceful degradation — זיהוי ניתוק, הודעת מסך ידידותית, התאוששות אוטומטית · בדיקות: ניתוק מודם ב-idle / באמצע שיחה / באמצע takeaway</t>
  </si>
  <si>
    <t xml:space="preserve">attract-loop + תוכן שיחה לקהל</t>
  </si>
  <si>
    <t xml:space="preserve">edge cases · תשובות ל-100–200 מבקרים</t>
  </si>
  <si>
    <t xml:space="preserve">✅ שליחת מסלול שנבנה למבקר (QR → PDF)</t>
  </si>
  <si>
    <t xml:space="preserve">שכבת must-have הושלמה ואומתה e2e (generate_takeaway→R2→QR→PDF). email נהרג (PII). נותר: trigger דרך Stream Deck + commit · 7.7: QL-800 צעדים 1-4 הושלמו — usb מאומת, brother_ql, QR 25מ"מ נסרק עם URL מלא של R2. תווית הוחלטה 29×29 מגליל רציף DK-22210 (לרכוש; יש sample). נותר צעד 5: חיווט ב-tico_server (~2172/2180) מאחורי feature-flag</t>
  </si>
  <si>
    <t xml:space="preserve">32b</t>
  </si>
  <si>
    <t xml:space="preserve">✅ הדפסת תווית QL-800 + QR פיזי</t>
  </si>
  <si>
    <t xml:space="preserve">מנדטורי · קוד מאפס (אין כיום) · המצע = כרטיס boarding pass (47b)</t>
  </si>
  <si>
    <t xml:space="preserve">✅ אסטרטגיית תקציב TTS (שדרוג מ-NO_TTS)</t>
  </si>
  <si>
    <t xml:space="preserve">✅ eleven_v3 בפרודקשן · נותר: התראת מכסה — הועבר להערת ה-soak</t>
  </si>
  <si>
    <t xml:space="preserve">QA אינטגרציה מלאה (כל הסוכנים e2e)</t>
  </si>
  <si>
    <t xml:space="preserve">✅ 3 מבחני קבלה עברו 21.7 (F14 empty · race לא קיים על 4db530f · takeaway מלא QR+מדבקה). באגים ידועים מעודכנים: geocoding בורח מהיעד (36d) · רינדור takeaway ~109ש' (36e) · קוביות מפה client-side (36f) · נעילת שפת-תגובה · reverse_geocoder ב-render · meta-prose</t>
  </si>
  <si>
    <t xml:space="preserve">✅ pilot עם משתמשים אמיתיים</t>
  </si>
  <si>
    <t xml:space="preserve">בוצע 21.7 — 6 בודקים (רינה/סמי/מאיר/גיא/ליאת/רחל) על Elgato Wave Neo. 'עבד מעולה רוב הזמן'. לוג מתוזמן נשמר (tico-session-2026-07-21.log). ממצאים→שורות: אודיו-גישור ללטנסי (36c) · 3 באגים (36d/e/f) · ES/FR spike (36g) · backlog משוב (36h). שבת 25.7: 3 בודקים עם Jabra להכרעת מיקרופון (42b).</t>
  </si>
  <si>
    <t xml:space="preserve">36b</t>
  </si>
  <si>
    <t xml:space="preserve">Mac mini deploy: launchd · kiosk · VNC · STT-lock</t>
  </si>
  <si>
    <t xml:space="preserve">אומת במיקום 21.7: boot-to-kiosk, שרת חי, 3 מבחני קבלה עברו, pilot רץ עליו. תקלת הקמה שנפתרה: 'No input device found' → לחבר מיקרופון לפני boot + kickstart. נותר לפני 6.8: נוהל 'מיקרופון/Jabra לפני boot' (retry במקום crash) · control.html לא נגיש בתערוכה · הקשחות (cache-buster/שומר-פוקוס/boot.py).</t>
  </si>
  <si>
    <t xml:space="preserve">36c</t>
  </si>
  <si>
    <t xml:space="preserve">אודיו גישור מוקלט מראש — פתרון לטנסי ראשי</t>
  </si>
  <si>
    <t xml:space="preserve">ממצא לוג 21.7: sentence chunking כבר מיושם בצנרת — הפתרון המרכזי ללטנסי הוא אודיו גישור גנרי ("אני בונה את המסלול, רגע…") שמתנגן בזמן סבבי כלים (~11–13ש' שקט פתיחה). שינוי קטן, סיכון נמוך, מתיישב על companion-not-oracle. ריאלי לפני 6.8. חקירת TTFT המשתנה (עד 5.4ש') — אחרי התערוכה.</t>
  </si>
  <si>
    <t xml:space="preserve">36d</t>
  </si>
  <si>
    <t xml:space="preserve">🐞 באג: geocoding בורח מהיעד</t>
  </si>
  <si>
    <t xml:space="preserve">'שוק העיר' (מסלול מרוקו) קיבל קואורדינטות של אבו דאבי (24.4895, 54.3567) — שאילתה גנרית → geocode גלובלי בלי עיגון. משפיע על מפת takeaway ועל כל קישור GMaps עתידי. תיקון: locationbias סביב dest_lat/lng + פילטר מרחק. מועמד חזק לפני 6.8 — חשוד כשורש משותף גם לבאג קוביות המפה (36f).</t>
  </si>
  <si>
    <t xml:space="preserve">36e</t>
  </si>
  <si>
    <t xml:space="preserve">🐞 באג: רינדור takeaway איטי (~109ש')</t>
  </si>
  <si>
    <t xml:space="preserve">F14 עם cache חם → מדבקה = ~109ש' אצל רחל (כמעט 2 דק' ברגע המזכרת). חשוד: רינדור PDF (Playwright). לפני 6.8 לפחות למדוד אם טיפוסי.</t>
  </si>
  <si>
    <t xml:space="preserve">36f</t>
  </si>
  <si>
    <t xml:space="preserve">🐞 באג: טעינת מפה בקוביות (2/6 בודקים)</t>
  </si>
  <si>
    <t xml:space="preserve">tiles נטענים לאט ובהדרגה. צד-לקוח בלבד — לא מופיע ב-tico-server.log (הדפדפן מושך tiles ישירות). חשודים: (א) רוחב פס במיקום; (ב) קשור ל-geocoding (נקודת אבו דאבי מותחת fitBounds על ~6000ק"מ → זום קיצוני → מבול tiles); (ג) re-fit אחרי כל מנת נקודות. צעדים: לתקן geocoding ולבדוק שוב · מבחן טעינת מפה על רשת HIT לצ'קליסט ההקמה · אופציה עתידית: fitBounds אחד בסוף (app.js, לא לפני שבת).</t>
  </si>
  <si>
    <t xml:space="preserve">36g</t>
  </si>
  <si>
    <t xml:space="preserve">שיחה ב-ES/FR — spike היתכנות (nice-to-have)</t>
  </si>
  <si>
    <t xml:space="preserve">בקשת בודקים 21.7: לשוחח עם Tico בספרדית ובצרפתית. spike היתכנות: STT (זיהוי/נעילת שפה) · LLM · קול TTS ל-ES/FR · נעילת שפת-תגובה. nice-to-have — רק אם יישאר זמן לפני 6.8, לא חוסם את הנתיב הקריטי. אם לא — לפרק 'הדור הבא' בספר.</t>
  </si>
  <si>
    <t xml:space="preserve">36h</t>
  </si>
  <si>
    <t xml:space="preserve">backlog משוב בודקים 21.7</t>
  </si>
  <si>
    <t xml:space="preserve">מרוכז: (1) קישור Google Maps ב-takeaway — קל, URL אוניברסלי maps/dir/?api=1&amp;waypoints=… (עד ~9 תחנות, בלי API key), חסום על geocoding · (2) PDF אישי יותר (מלונות/מסעדות/הגעה משדה/'להזמין מראש' — מאיר) = הרחבת פרומפט takeaway, לפני 6.8 אם מתועדף · (3) 'planning not booking' מוקדם — משפט בפתיח/שלט, מומלץ · (4) מפה בסיכום (מאיר) — חסום על geocoding. לא לתערוכה: פתיח עם תאריכים/טיסות/מלונות (→'הדור הבא') · הגיית עברית (לא משקיעים) · barge-in (TODO אחרי התערוכה).</t>
  </si>
  <si>
    <t xml:space="preserve">  סרט Hero — Hero Video  ◀ lead-time</t>
  </si>
  <si>
    <t xml:space="preserve">H1</t>
  </si>
  <si>
    <t xml:space="preserve">סרט</t>
  </si>
  <si>
    <t xml:space="preserve">✅ סטילס+הנפשה P1–P10</t>
  </si>
  <si>
    <t xml:space="preserve">משפחת-בית P1–P5 + רחוב/חשיפה P6–P10 · אנטי-דריפט מוכח · מנוע=Grok (Veo גיבוי)</t>
  </si>
  <si>
    <t xml:space="preserve">H2</t>
  </si>
  <si>
    <t xml:space="preserve">סטילס חסרים P11/P13/P14/P8b/P9b</t>
  </si>
  <si>
    <t xml:space="preserve">פרומפטים מוכנים ב-storyboard-v2</t>
  </si>
  <si>
    <t xml:space="preserve">H3</t>
  </si>
  <si>
    <t xml:space="preserve">P12 = זיכרון-אור (החלטת David)</t>
  </si>
  <si>
    <t xml:space="preserve">לא iPad (קו-אדום: מסך=עֵד, לא נהג) · ממתין לאישור חנן 7.7</t>
  </si>
  <si>
    <t xml:space="preserve">H4</t>
  </si>
  <si>
    <t xml:space="preserve">composite הסימן הווקטורי בכל שוט (Motion/AE)</t>
  </si>
  <si>
    <t xml:space="preserve">כולל שוט 13 בזיכרון-אור composited · חובה ל-6.7 · המשימה הגדולה שנותרה</t>
  </si>
  <si>
    <t xml:space="preserve">H5</t>
  </si>
  <si>
    <t xml:space="preserve">HD re-export P6–P10 + נרמול AR ל-16:9</t>
  </si>
  <si>
    <t xml:space="preserve">post-חנן · polish רזולוציה</t>
  </si>
  <si>
    <t xml:space="preserve">H6</t>
  </si>
  <si>
    <t xml:space="preserve">מוזיקה/פס-קול (~44ש שקט) + מיקס VO</t>
  </si>
  <si>
    <t xml:space="preserve">stretch · גרסה ראשונה עד 7.7 אם יש זמן · לא חוסם הצגת חנן · אחרת אחרי</t>
  </si>
  <si>
    <t xml:space="preserve">H7</t>
  </si>
  <si>
    <t xml:space="preserve">  תערוכה / לוגיסטיקה — Exhibition</t>
  </si>
  <si>
    <t xml:space="preserve">תערוכה</t>
  </si>
  <si>
    <t xml:space="preserve">✅ החלטות חלל/מיצב</t>
  </si>
  <si>
    <t xml:space="preserve">מסך אחד · handset+PTT · Stream Deck Neo</t>
  </si>
  <si>
    <t xml:space="preserve">קבלת spec מ-HIT</t>
  </si>
  <si>
    <t xml:space="preserve">היה ל-26.5, מאחר — חוסם פרק 7/מיפוי/חשמל · 14.7: צפוי להיסגר היום</t>
  </si>
  <si>
    <t xml:space="preserve">✅ קביעת דגם Mac mini + גודל מסך</t>
  </si>
  <si>
    <t xml:space="preserve">HW</t>
  </si>
  <si>
    <t xml:space="preserve">לחישוב חשמל מדויק</t>
  </si>
  <si>
    <t xml:space="preserve">41b</t>
  </si>
  <si>
    <t xml:space="preserve">❄️ החלפת מסכים — הוקפא: live נשאר 24″ · הדמיות נשאר 32″</t>
  </si>
  <si>
    <t xml:space="preserve">הוקפא 19.7 (החלטת David): בדיקות המשתמשים 21.7 על ה-24″ הקיים; הגדלה תיבחן רק אם יישאר זמן</t>
  </si>
  <si>
    <t xml:space="preserve">החלטת גיבוי חומרה (Mac mini/מודם/מיק רזרבי)</t>
  </si>
  <si>
    <t xml:space="preserve">מה קורה אם רכיב נופל באמצע 14 הימים — להחליט על רזרבה לפני התערוכה · לדיון 14.7 ערב</t>
  </si>
  <si>
    <t xml:space="preserve">42b</t>
  </si>
  <si>
    <t xml:space="preserve">הכרעת מיקרופון: Elgato מול Jabra</t>
  </si>
  <si>
    <t xml:space="preserve">pilot 21.7 רץ על Elgato Wave Neo. ראיה מהלוג: מיקרופון פתוח קלט צד-שלישי (רחל דיברה עם אמא שלה ו-Tico ענה) — באולם = כל צופה מדבר ליד → קלט. Jabra צמוד-פה חוסם בדיוק את זה. שבת 25.7: 3 בודקים עם Jabra + מבחן מכוון 'אדם שני מדבר ליד'. אחרי שבת: הכרעה. משלים השוואת STT Jabra↔Elgato (עברית מדוברת קובעת).</t>
  </si>
  <si>
    <t xml:space="preserve">✅ קבלת מודם סלולרי</t>
  </si>
  <si>
    <t xml:space="preserve">~שבועיים — חוסם בדיקת demo-mode · 7.7: המודם ביד. בדיקה מיידית: אותו prompt על מודם מול Wi-Fi HIT — בקמפוס איטי משמעותית מהבית</t>
  </si>
  <si>
    <t xml:space="preserve">מיפוי סופי + אישור חשמל/UPS מול האוצרת</t>
  </si>
  <si>
    <t xml:space="preserve">שקע 230V מוארק + UPS · 19.7: הדמיית drawio עדכנית (קיר קאפה 3.3 מ׳ · BOLLSIDAN · מסכים תלויים) הוצגה ליעל בזום</t>
  </si>
  <si>
    <t xml:space="preserve">44b</t>
  </si>
  <si>
    <t xml:space="preserve">✅ קונסטרוקציית רקע/קיר — יעד החלטה</t>
  </si>
  <si>
    <t xml:space="preserve">יעד להחלטת כיוון (מפושט) · לא ביצוע · חוסם מדבקת-קיר + טופס בטיחות</t>
  </si>
  <si>
    <t xml:space="preserve">עיצוב פוסטר 1.2×0.8 (פורטרט)</t>
  </si>
  <si>
    <t xml:space="preserve">גודל סופי 120×80 (נסגר 17.7) · 19.7: C2 נבחר, mockup עם הסימן האמיתי הופק · נותר: טקסטים סופיים מהספר, שם מנחה, QR אמיתי</t>
  </si>
  <si>
    <t xml:space="preserve">46b</t>
  </si>
  <si>
    <t xml:space="preserve">מדבקת קיר — לוח המראות (בגודל מלא)</t>
  </si>
  <si>
    <t xml:space="preserve">artwork בגודל מלא — ⚠️ לוודא מידות ה"חלון" מול המסכים החדשים (32"/49") לפני דפוס</t>
  </si>
  <si>
    <t xml:space="preserve">46c</t>
  </si>
  <si>
    <t xml:space="preserve">לופ הודעות popup — 2 מסכי 15″ + סטרימרים (במקום מקרנים)</t>
  </si>
  <si>
    <t xml:space="preserve">19.7: הוחלט — מסכי 15″ תלויים בפינות, הזנת USB בלבד, סטרימר מריץ לופ הודעות Tico · הקוד קיים, ההכנה בהמשך</t>
  </si>
  <si>
    <t xml:space="preserve">46d</t>
  </si>
  <si>
    <t xml:space="preserve">החלטת תוכן מסך הדמיות (7 אובייקטים) → build</t>
  </si>
  <si>
    <t xml:space="preserve">קונפליקט סט 25.6 מול רשימת 7.7 + אילוץ חנן: 7 אובייקטים (כולל הסרט?) — הכרעת David חוסמת build · i7 + Neo, attract 12-18ש</t>
  </si>
  <si>
    <t xml:space="preserve">QR/הדפסת מסלול — takeaway פיזי למבקר</t>
  </si>
  <si>
    <t xml:space="preserve">פריסת הדפסה/QR; תלוי בפיצ'ר ה-export (משימה 32) · 7.7: חבילת דפוס דו-צדדית סופית — FRONT-v4 (ברקוד הוסר, שדה 30×30, הסימן נשאר) + BACK חדש (lockup + odysee.me) + brief v2. דו-צדדי אושר מול בית הדפוס — לשלוח עדכון הזמנה</t>
  </si>
  <si>
    <t xml:space="preserve">47b</t>
  </si>
  <si>
    <t xml:space="preserve">הזמנת הדפסת כרטיסי boarding pass</t>
  </si>
  <si>
    <t xml:space="preserve">מול בית דפוס · מצע פיזי לתווית QL-800 (32b) · עיצוב תלוי בפריסת takeaway · הוזמן · צפי הגעה ~20.7</t>
  </si>
  <si>
    <t xml:space="preserve">47c</t>
  </si>
  <si>
    <t xml:space="preserve">רכש: גליל DK-22210 (רציף 29) + סטנד כרטיסים</t>
  </si>
  <si>
    <t xml:space="preserve">גליל רציף 29מ"מ (לא die-cut) לתווית 29×29 — יש sample לבדיקת תבנית · סטנד ברושורים לשולחן (חנן 7.7) · 14.7: 2 גלילים נאספים היום · נותר: סטנד כרטיסים</t>
  </si>
  <si>
    <t xml:space="preserve">הדפסת קאפות (לוח יציאות) + חומרים</t>
  </si>
  <si>
    <t xml:space="preserve">קאפות תלויות באישור אוצרת 15.7 · הפוסטר לא בהדפסה שלנו — מירי מ-26.7</t>
  </si>
  <si>
    <t xml:space="preserve">הרכבת חומרה + בדיקות</t>
  </si>
  <si>
    <t xml:space="preserve">מסך 32″ הדמיות · רמקולים? · Jabra · כפתורים (קיבוע VESA-plate מתחת למסך, ~35° מעלה) · מדבקות כפתורים 25 מ״מ — קובץ דפוס הופק 19.7, ממתין לאימות test-fit לפני שליחה</t>
  </si>
  <si>
    <t xml:space="preserve">50</t>
  </si>
  <si>
    <t xml:space="preserve">✅ דימויים ליח"צ (לוח HIT)</t>
  </si>
  <si>
    <t xml:space="preserve">נסגר 19.7: לוגו Tico הועבר — מספיק בשלב זה</t>
  </si>
  <si>
    <t xml:space="preserve">50b</t>
  </si>
  <si>
    <t xml:space="preserve">תוכנית חשמל לגילת — נקודות לעמדה</t>
  </si>
  <si>
    <t xml:space="preserve">מסמך נבנה 19.7 (docx + סקיצת מבט-על, bidi תקין) · ציוד: M4 · 24″ live תלוי · 32″ הדמיות+i7 · QL-800 · 2×15″ USB · מודם · UPS · 617W≈2.7A · נותר: שליחה לגילת עד 20.7</t>
  </si>
  <si>
    <t xml:space="preserve">50c</t>
  </si>
  <si>
    <t xml:space="preserve">טבלת דרישות ציוד חשמל + הדמיה</t>
  </si>
  <si>
    <t xml:space="preserve">רק ציוד: כבלים/מפצלים + הדמיה ופרטים אישיים</t>
  </si>
  <si>
    <t xml:space="preserve">51</t>
  </si>
  <si>
    <t xml:space="preserve">שליחת פוסטר לאישור יעל</t>
  </si>
  <si>
    <t xml:space="preserve">תנאי: אישור מנחה — חנן אישר קונספט 16.7 ✓</t>
  </si>
  <si>
    <t xml:space="preserve">51b</t>
  </si>
  <si>
    <t xml:space="preserve">שליחת קובץ פוסטר למירי</t>
  </si>
  <si>
    <t xml:space="preserve">מירי מדפיסה החל מ-26.7 · לברר מפרט קובץ (bleed/רזולוציה) · 22.7: לאמת שם בית הדפוס ('קאפה'? ר' Zami) · לוודא מפרט קובץ: bleed/safe zone, CMYK, 300dpi, Tico Orange לא כטקסט על רקע בהיר.</t>
  </si>
  <si>
    <t xml:space="preserve">52</t>
  </si>
  <si>
    <t xml:space="preserve">קבלת חדר התערוכה + עבודות מלכלכות</t>
  </si>
  <si>
    <t xml:space="preserve">מיום ראשון 26.7 ממקים בחדר — מלוכלך רק ב-24.7</t>
  </si>
  <si>
    <t xml:space="preserve">52b</t>
  </si>
  <si>
    <t xml:space="preserve">הדרכת גובה 09:00</t>
  </si>
  <si>
    <t xml:space="preserve">דוד · שלומי · גילת · פליקס</t>
  </si>
  <si>
    <t xml:space="preserve">52c</t>
  </si>
  <si>
    <t xml:space="preserve">חשמלאי באתר — יוסי ישורון</t>
  </si>
  <si>
    <t xml:space="preserve">עבודות רועשות מותרות רק ב-2.8, לא ב-3.8</t>
  </si>
  <si>
    <t xml:space="preserve">52d</t>
  </si>
  <si>
    <t xml:space="preserve">מצגת הגשה (כיתה 101)</t>
  </si>
  <si>
    <t xml:space="preserve">~שעתיים · על בסיס דקים קיימים (v10)</t>
  </si>
  <si>
    <t xml:space="preserve">52e</t>
  </si>
  <si>
    <t xml:space="preserve">משמרות ליווי במתחם — שיריון</t>
  </si>
  <si>
    <t xml:space="preserve">מול אריאל ושקד</t>
  </si>
  <si>
    <t xml:space="preserve">52f</t>
  </si>
  <si>
    <t xml:space="preserve">  אבני דרך — Milestones</t>
  </si>
  <si>
    <t xml:space="preserve">אבן דרך</t>
  </si>
  <si>
    <t xml:space="preserve">📌 פגישת מנחה</t>
  </si>
  <si>
    <t xml:space="preserve">מגדיר את דרישות הצגת הביניים</t>
  </si>
  <si>
    <t xml:space="preserve">📌 הצגת ביניים</t>
  </si>
  <si>
    <t xml:space="preserve">יום שלישי 16.6 · deck v10 + presenter notes מוכנים · חזרה אחרונה 15.6 ערב · האתר לא מוצג</t>
  </si>
  <si>
    <t xml:space="preserve">54b</t>
  </si>
  <si>
    <t xml:space="preserve">📌 הצגת video board לחנן</t>
  </si>
  <si>
    <t xml:space="preserve">יעד סיום board 06.07 · הצגת זיכרון-אור (במקום iPad) לאישור</t>
  </si>
  <si>
    <t xml:space="preserve">54c</t>
  </si>
  <si>
    <t xml:space="preserve">📌 אישור אוצרת — קיר/מידות/מיקום</t>
  </si>
  <si>
    <t xml:space="preserve">חוסם הדפסת קאפות לוח היציאות</t>
  </si>
  <si>
    <t xml:space="preserve">54d</t>
  </si>
  <si>
    <t xml:space="preserve">📌 תחילת soak 14 ימים</t>
  </si>
  <si>
    <t xml:space="preserve">על ה-Mac mini, ללא השגחה — התנאי: deploy הושלם</t>
  </si>
  <si>
    <t xml:space="preserve">📌 הקפאת ספר</t>
  </si>
  <si>
    <t xml:space="preserve">תוכן סופי לפני בנייה+הדפסה</t>
  </si>
  <si>
    <t xml:space="preserve">📌 dry-run מלא בתנאי תערוכה</t>
  </si>
  <si>
    <t xml:space="preserve">ריצה מלאה כמו יום הפתיחה</t>
  </si>
  <si>
    <t xml:space="preserve">56c</t>
  </si>
  <si>
    <t xml:space="preserve">📌 ביקורת ג'ורי במקום (מיצב עובד ~90%)</t>
  </si>
  <si>
    <t xml:space="preserve">יומיים לפני הפתיחה, במקום, על מיצב מונח ועובד (חנן 7.7) — הדדליין האפקטיבי של "הכל עובד"</t>
  </si>
  <si>
    <t xml:space="preserve">📌 הגשה סופית + מצגת (כיתה 101)</t>
  </si>
  <si>
    <t xml:space="preserve">SUBMIT</t>
  </si>
  <si>
    <t xml:space="preserve">ההגשה בכיתה 101 — מומלץ מצגת · הספר עצמו: דיגיטלית עד 30.8</t>
  </si>
  <si>
    <t xml:space="preserve">📌 פתיחת תערוכה</t>
  </si>
  <si>
    <t xml:space="preserve">LIVE</t>
  </si>
  <si>
    <t xml:space="preserve">57b</t>
  </si>
  <si>
    <t xml:space="preserve">📌 הגשת ספר דיגיטלית לעדי</t>
  </si>
  <si>
    <t xml:space="preserve">adifr@hit.ac.il · לא חלק מהתערוכה · שינויים אחרי הדפוס — דיגיטלית בלבד</t>
  </si>
  <si>
    <t xml:space="preserve">Track Summary</t>
  </si>
  <si>
    <t xml:space="preserve">Track</t>
  </si>
  <si>
    <t xml:space="preserve">Name</t>
  </si>
  <si>
    <t xml:space="preserve">Start</t>
  </si>
  <si>
    <t xml:space="preserve">End</t>
  </si>
  <si>
    <t xml:space="preserve">Duration</t>
  </si>
  <si>
    <t xml:space="preserve">Focus</t>
  </si>
  <si>
    <t xml:space="preserve">לקסיקון+פ׳7+איורים ✅ · נותר: trust-gap לייבל, ביבליוגרפיית חוק · עותק תצוגה = Lupa (הזמנה 27.7) · דפוס בית-דפוס לא חובה (הגשה דיגיטלית 30.8)</t>
  </si>
  <si>
    <t xml:space="preserve">מיגרציה + design-system + agents ✅ · נותר: פונט/favicon, איחוד טוקנים, exhibition, QA, מיזוג</t>
  </si>
  <si>
    <t xml:space="preserve">אפליקציה + דמו</t>
  </si>
  <si>
    <t xml:space="preserve">✅ pilot 21.7 (6 בודקים, Elgato) · deploy אומת במיקום · נותר לפני 6.8: אודיו-גישור ללטנסי · 3 באגים (geocoding/רינדור/קוביות) · הקשחות · demo-mode · attract · QA · ES/FR spike (nice-to-have)</t>
  </si>
  <si>
    <t xml:space="preserve">סרט Hero</t>
  </si>
  <si>
    <t xml:space="preserve">P1–P10 ✅ · composite+שוט13 עד 6.7 · HD+מוזיקה אחרי 7.7</t>
  </si>
  <si>
    <t xml:space="preserve">תערוכה / לוגיסטיקה</t>
  </si>
  <si>
    <t xml:space="preserve">נותר: פוסטר→יעל 22.7→מירי 24.7 · הכרעת מיקרופון אחרי שבת 25.7 · חדר 24.7 · גובה 27.7 · חשמלאי 2–3.8 · הרכבה · פירוק 20.8</t>
  </si>
  <si>
    <t xml:space="preserve">אבני דרך</t>
  </si>
  <si>
    <t xml:space="preserve">soak 20.7 · פוסטר→יעל 22.7 · freeze 26.7 · dry-run 3.8 · הגשה+מצגת 4.8 · פתיחה 6.8 · ספר דיגיטלי 30.8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</si>
</sst>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&quot; days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8A44A"/>
      <name val="Calibri"/>
      <family val="0"/>
      <charset val="1"/>
    </font>
    <font>
      <sz val="10"/>
      <color rgb="FF8A8070"/>
      <name val="Calibri"/>
      <family val="0"/>
      <charset val="1"/>
    </font>
    <font>
      <sz val="10"/>
      <color rgb="FF8A8070"/>
      <name val="FreeSans"/>
      <family val="2"/>
    </font>
    <font>
      <b val="true"/>
      <sz val="10"/>
      <color rgb="FFE4DDD0"/>
      <name val="Calibri"/>
      <family val="0"/>
      <charset val="1"/>
    </font>
    <font>
      <b val="true"/>
      <sz val="10"/>
      <color rgb="FFE4DDD0"/>
      <name val="FreeSans"/>
      <family val="2"/>
      <charset val="1"/>
    </font>
    <font>
      <b val="true"/>
      <sz val="11"/>
      <color rgb="FFC8A44A"/>
      <name val="FreeSans"/>
      <family val="2"/>
      <charset val="1"/>
    </font>
    <font>
      <sz val="10"/>
      <color rgb="FFE4DDD0"/>
      <name val="Calibri"/>
      <family val="0"/>
      <charset val="1"/>
    </font>
    <font>
      <sz val="10"/>
      <color rgb="FFE4DDD0"/>
      <name val="FreeSans"/>
      <family val="2"/>
      <charset val="1"/>
    </font>
    <font>
      <b val="true"/>
      <sz val="10"/>
      <color rgb="FF8B5CF6"/>
      <name val="Calibri"/>
      <family val="0"/>
      <charset val="1"/>
    </font>
    <font>
      <b val="true"/>
      <sz val="14"/>
      <color rgb="FFC8A44A"/>
      <name val="Calibri"/>
      <family val="0"/>
      <charset val="1"/>
    </font>
    <font>
      <b val="true"/>
      <sz val="10"/>
      <color rgb="FFC8A44A"/>
      <name val="FreeSans"/>
      <family val="2"/>
      <charset val="1"/>
    </font>
    <font>
      <sz val="10"/>
      <color rgb="FFD0C8BC"/>
      <name val="Calibri"/>
      <family val="0"/>
      <charset val="1"/>
    </font>
    <font>
      <sz val="10"/>
      <color rgb="FFD0C8BC"/>
      <name val="FreeSan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7091A"/>
        <bgColor rgb="FF0A0F22"/>
      </patternFill>
    </fill>
    <fill>
      <patternFill patternType="solid">
        <fgColor rgb="FF0E1428"/>
        <bgColor rgb="FF0A0F22"/>
      </patternFill>
    </fill>
    <fill>
      <patternFill patternType="solid">
        <fgColor rgb="FF3D2E00"/>
        <bgColor rgb="FF333333"/>
      </patternFill>
    </fill>
    <fill>
      <patternFill patternType="solid">
        <fgColor rgb="FF0A0F22"/>
        <bgColor rgb="FF0E142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F22"/>
      <rgbColor rgb="FF808000"/>
      <rgbColor rgb="FF800080"/>
      <rgbColor rgb="FF008080"/>
      <rgbColor rgb="FFD0C8BC"/>
      <rgbColor rgb="FF8A8070"/>
      <rgbColor rgb="FF9999FF"/>
      <rgbColor rgb="FF993366"/>
      <rgbColor rgb="FFFFFFCC"/>
      <rgbColor rgb="FFCCFFFF"/>
      <rgbColor rgb="FF660066"/>
      <rgbColor rgb="FFFF8080"/>
      <rgbColor rgb="FF0066CC"/>
      <rgbColor rgb="FFE4DDD0"/>
      <rgbColor rgb="FF07091A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B5CF6"/>
      <rgbColor rgb="FFC8A44A"/>
      <rgbColor rgb="FF003366"/>
      <rgbColor rgb="FF339966"/>
      <rgbColor rgb="FF0E1428"/>
      <rgbColor rgb="FF3D2E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40"/>
    <col collapsed="false" customWidth="true" hidden="false" outlineLevel="0" max="5" min="4" style="1" width="16"/>
    <col collapsed="false" customWidth="true" hidden="false" outlineLevel="0" max="7" min="6" style="1" width="12"/>
    <col collapsed="false" customWidth="true" hidden="false" outlineLevel="0" max="8" min="8" style="1" width="52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2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5" t="s">
        <v>3</v>
      </c>
      <c r="C4" s="6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6" t="s">
        <v>9</v>
      </c>
    </row>
    <row r="5" customFormat="false" ht="14.25" hidden="false" customHeight="true" outlineLevel="0" collapsed="false">
      <c r="A5" s="7" t="s">
        <v>10</v>
      </c>
      <c r="B5" s="7"/>
      <c r="C5" s="7"/>
      <c r="D5" s="7"/>
      <c r="E5" s="7"/>
      <c r="F5" s="7"/>
      <c r="G5" s="7"/>
      <c r="H5" s="7"/>
    </row>
    <row r="6" customFormat="false" ht="15" hidden="false" customHeight="true" outlineLevel="0" collapsed="false">
      <c r="A6" s="8" t="n">
        <v>1</v>
      </c>
      <c r="B6" s="9" t="s">
        <v>11</v>
      </c>
      <c r="C6" s="10" t="s">
        <v>12</v>
      </c>
      <c r="D6" s="11" t="n">
        <v>46127</v>
      </c>
      <c r="E6" s="11" t="n">
        <v>46159</v>
      </c>
      <c r="F6" s="8" t="n">
        <f aca="false">E6-D6+1</f>
        <v>33</v>
      </c>
      <c r="G6" s="12" t="s">
        <v>13</v>
      </c>
      <c r="H6" s="10" t="s">
        <v>14</v>
      </c>
    </row>
    <row r="7" customFormat="false" ht="15" hidden="false" customHeight="true" outlineLevel="0" collapsed="false">
      <c r="A7" s="13" t="n">
        <v>2</v>
      </c>
      <c r="B7" s="14" t="s">
        <v>11</v>
      </c>
      <c r="C7" s="15" t="s">
        <v>15</v>
      </c>
      <c r="D7" s="16" t="n">
        <v>46162</v>
      </c>
      <c r="E7" s="16" t="n">
        <v>46165</v>
      </c>
      <c r="F7" s="13" t="n">
        <f aca="false">E7-D7+1</f>
        <v>4</v>
      </c>
      <c r="G7" s="17" t="s">
        <v>13</v>
      </c>
      <c r="H7" s="15" t="s">
        <v>16</v>
      </c>
    </row>
    <row r="8" customFormat="false" ht="15" hidden="false" customHeight="true" outlineLevel="0" collapsed="false">
      <c r="A8" s="8" t="n">
        <v>3</v>
      </c>
      <c r="B8" s="9" t="s">
        <v>11</v>
      </c>
      <c r="C8" s="10" t="s">
        <v>17</v>
      </c>
      <c r="D8" s="11" t="n">
        <v>46170</v>
      </c>
      <c r="E8" s="11" t="n">
        <v>46173</v>
      </c>
      <c r="F8" s="8" t="n">
        <f aca="false">E8-D8+1</f>
        <v>4</v>
      </c>
      <c r="G8" s="12" t="s">
        <v>18</v>
      </c>
      <c r="H8" s="10" t="s">
        <v>19</v>
      </c>
    </row>
    <row r="9" customFormat="false" ht="15" hidden="false" customHeight="true" outlineLevel="0" collapsed="false">
      <c r="A9" s="13" t="n">
        <v>4</v>
      </c>
      <c r="B9" s="14" t="s">
        <v>11</v>
      </c>
      <c r="C9" s="15" t="s">
        <v>20</v>
      </c>
      <c r="D9" s="16" t="n">
        <v>46176</v>
      </c>
      <c r="E9" s="16" t="n">
        <v>46185</v>
      </c>
      <c r="F9" s="13" t="n">
        <f aca="false">E9-D9+1</f>
        <v>10</v>
      </c>
      <c r="G9" s="17" t="s">
        <v>18</v>
      </c>
      <c r="H9" s="15" t="s">
        <v>21</v>
      </c>
    </row>
    <row r="10" customFormat="false" ht="15" hidden="false" customHeight="true" outlineLevel="0" collapsed="false">
      <c r="A10" s="13" t="n">
        <v>6</v>
      </c>
      <c r="B10" s="14" t="s">
        <v>11</v>
      </c>
      <c r="C10" s="15" t="s">
        <v>22</v>
      </c>
      <c r="D10" s="16" t="n">
        <v>46183</v>
      </c>
      <c r="E10" s="16" t="n">
        <v>46227</v>
      </c>
      <c r="F10" s="13" t="n">
        <f aca="false">E10-D10+1</f>
        <v>45</v>
      </c>
      <c r="G10" s="17" t="s">
        <v>23</v>
      </c>
      <c r="H10" s="15" t="s">
        <v>24</v>
      </c>
    </row>
    <row r="11" customFormat="false" ht="15" hidden="false" customHeight="true" outlineLevel="0" collapsed="false">
      <c r="A11" s="8" t="s">
        <v>25</v>
      </c>
      <c r="B11" s="9" t="s">
        <v>11</v>
      </c>
      <c r="C11" s="10" t="s">
        <v>26</v>
      </c>
      <c r="D11" s="11" t="n">
        <v>46186</v>
      </c>
      <c r="E11" s="11" t="n">
        <v>46191</v>
      </c>
      <c r="F11" s="8" t="n">
        <f aca="false">E11-D11+1</f>
        <v>6</v>
      </c>
      <c r="G11" s="12" t="s">
        <v>13</v>
      </c>
      <c r="H11" s="10" t="s">
        <v>27</v>
      </c>
    </row>
    <row r="12" customFormat="false" ht="15" hidden="false" customHeight="true" outlineLevel="0" collapsed="false">
      <c r="A12" s="13" t="n">
        <v>7</v>
      </c>
      <c r="B12" s="14" t="s">
        <v>11</v>
      </c>
      <c r="C12" s="15" t="s">
        <v>28</v>
      </c>
      <c r="D12" s="16" t="n">
        <v>46188</v>
      </c>
      <c r="E12" s="16" t="n">
        <v>46227</v>
      </c>
      <c r="F12" s="13" t="n">
        <f aca="false">E12-D12+1</f>
        <v>40</v>
      </c>
      <c r="G12" s="17" t="s">
        <v>29</v>
      </c>
      <c r="H12" s="15" t="s">
        <v>30</v>
      </c>
    </row>
    <row r="13" customFormat="false" ht="15" hidden="false" customHeight="true" outlineLevel="0" collapsed="false">
      <c r="A13" s="8" t="n">
        <v>8</v>
      </c>
      <c r="B13" s="9" t="s">
        <v>11</v>
      </c>
      <c r="C13" s="10" t="s">
        <v>31</v>
      </c>
      <c r="D13" s="11" t="n">
        <v>46218</v>
      </c>
      <c r="E13" s="11" t="n">
        <v>46227</v>
      </c>
      <c r="F13" s="8" t="n">
        <f aca="false">E13-D13+1</f>
        <v>10</v>
      </c>
      <c r="G13" s="12" t="s">
        <v>23</v>
      </c>
      <c r="H13" s="10" t="s">
        <v>32</v>
      </c>
    </row>
    <row r="14" customFormat="false" ht="15" hidden="false" customHeight="true" outlineLevel="0" collapsed="false">
      <c r="A14" s="13" t="n">
        <v>9</v>
      </c>
      <c r="B14" s="14" t="s">
        <v>11</v>
      </c>
      <c r="C14" s="15" t="s">
        <v>33</v>
      </c>
      <c r="D14" s="16" t="n">
        <v>46211</v>
      </c>
      <c r="E14" s="16" t="n">
        <v>46221</v>
      </c>
      <c r="F14" s="13" t="n">
        <f aca="false">E14-D14+1</f>
        <v>11</v>
      </c>
      <c r="G14" s="17" t="s">
        <v>13</v>
      </c>
      <c r="H14" s="15" t="s">
        <v>34</v>
      </c>
    </row>
    <row r="15" customFormat="false" ht="15" hidden="false" customHeight="true" outlineLevel="0" collapsed="false">
      <c r="A15" s="8" t="n">
        <v>10</v>
      </c>
      <c r="B15" s="9" t="s">
        <v>11</v>
      </c>
      <c r="C15" s="10" t="s">
        <v>35</v>
      </c>
      <c r="D15" s="11" t="n">
        <v>46218</v>
      </c>
      <c r="E15" s="11" t="n">
        <v>46223</v>
      </c>
      <c r="F15" s="8" t="n">
        <f aca="false">E15-D15+1</f>
        <v>6</v>
      </c>
      <c r="G15" s="12" t="s">
        <v>13</v>
      </c>
      <c r="H15" s="10" t="s">
        <v>36</v>
      </c>
    </row>
    <row r="16" customFormat="false" ht="15" hidden="false" customHeight="true" outlineLevel="0" collapsed="false">
      <c r="A16" s="8" t="s">
        <v>37</v>
      </c>
      <c r="B16" s="9" t="s">
        <v>11</v>
      </c>
      <c r="C16" s="10" t="s">
        <v>38</v>
      </c>
      <c r="D16" s="11" t="n">
        <v>46218</v>
      </c>
      <c r="E16" s="11" t="n">
        <v>46227</v>
      </c>
      <c r="F16" s="8" t="n">
        <f aca="false">E16-D16+1</f>
        <v>10</v>
      </c>
      <c r="G16" s="12" t="s">
        <v>18</v>
      </c>
      <c r="H16" s="10" t="s">
        <v>39</v>
      </c>
    </row>
    <row r="17" customFormat="false" ht="15" hidden="false" customHeight="true" outlineLevel="0" collapsed="false">
      <c r="A17" s="13" t="n">
        <v>11</v>
      </c>
      <c r="B17" s="14" t="s">
        <v>11</v>
      </c>
      <c r="C17" s="15" t="s">
        <v>40</v>
      </c>
      <c r="D17" s="16" t="n">
        <v>46223</v>
      </c>
      <c r="E17" s="16" t="n">
        <v>46229</v>
      </c>
      <c r="F17" s="13" t="n">
        <f aca="false">E17-D17+1</f>
        <v>7</v>
      </c>
      <c r="G17" s="17" t="s">
        <v>23</v>
      </c>
      <c r="H17" s="15" t="s">
        <v>41</v>
      </c>
    </row>
    <row r="18" customFormat="false" ht="14.25" hidden="false" customHeight="true" outlineLevel="0" collapsed="false">
      <c r="A18" s="13" t="s">
        <v>42</v>
      </c>
      <c r="B18" s="14" t="s">
        <v>11</v>
      </c>
      <c r="C18" s="15" t="s">
        <v>43</v>
      </c>
      <c r="D18" s="16" t="n">
        <v>46230</v>
      </c>
      <c r="E18" s="16" t="n">
        <v>46237</v>
      </c>
      <c r="F18" s="13" t="n">
        <f aca="false">E18-D18+1</f>
        <v>8</v>
      </c>
      <c r="G18" s="17" t="s">
        <v>44</v>
      </c>
      <c r="H18" s="15" t="s">
        <v>45</v>
      </c>
    </row>
    <row r="19" customFormat="false" ht="15" hidden="false" customHeight="true" outlineLevel="0" collapsed="false">
      <c r="A19" s="13" t="s">
        <v>46</v>
      </c>
      <c r="B19" s="14" t="s">
        <v>11</v>
      </c>
      <c r="C19" s="15" t="s">
        <v>47</v>
      </c>
      <c r="D19" s="16" t="n">
        <v>46229</v>
      </c>
      <c r="E19" s="16" t="n">
        <v>46230</v>
      </c>
      <c r="F19" s="13" t="n">
        <f aca="false">E19-D19+1</f>
        <v>2</v>
      </c>
      <c r="G19" s="17" t="s">
        <v>44</v>
      </c>
      <c r="H19" s="15" t="s">
        <v>48</v>
      </c>
    </row>
    <row r="20" customFormat="false" ht="15" hidden="false" customHeight="true" outlineLevel="0" collapsed="false">
      <c r="A20" s="18"/>
      <c r="B20" s="18"/>
      <c r="C20" s="18"/>
      <c r="D20" s="18"/>
      <c r="E20" s="18"/>
      <c r="F20" s="18"/>
      <c r="G20" s="18"/>
      <c r="H20" s="18"/>
    </row>
    <row r="21" customFormat="false" ht="15" hidden="false" customHeight="true" outlineLevel="0" collapsed="false">
      <c r="A21" s="19" t="s">
        <v>49</v>
      </c>
    </row>
    <row r="22" customFormat="false" ht="15" hidden="false" customHeight="true" outlineLevel="0" collapsed="false">
      <c r="A22" s="8" t="n">
        <v>13</v>
      </c>
      <c r="B22" s="9" t="s">
        <v>50</v>
      </c>
      <c r="C22" s="10" t="s">
        <v>51</v>
      </c>
      <c r="D22" s="11" t="n">
        <v>46160</v>
      </c>
      <c r="E22" s="11" t="n">
        <v>46165</v>
      </c>
      <c r="F22" s="8" t="n">
        <f aca="false">E22-D22+1</f>
        <v>6</v>
      </c>
      <c r="G22" s="12" t="s">
        <v>18</v>
      </c>
      <c r="H22" s="10" t="s">
        <v>52</v>
      </c>
    </row>
    <row r="23" customFormat="false" ht="15" hidden="false" customHeight="true" outlineLevel="0" collapsed="false">
      <c r="A23" s="13" t="n">
        <v>14</v>
      </c>
      <c r="B23" s="14" t="s">
        <v>50</v>
      </c>
      <c r="C23" s="15" t="s">
        <v>53</v>
      </c>
      <c r="D23" s="16" t="n">
        <v>46171</v>
      </c>
      <c r="E23" s="16" t="n">
        <v>46171</v>
      </c>
      <c r="F23" s="13" t="n">
        <f aca="false">E23-D23+1</f>
        <v>1</v>
      </c>
      <c r="G23" s="17" t="s">
        <v>18</v>
      </c>
      <c r="H23" s="15" t="s">
        <v>54</v>
      </c>
    </row>
    <row r="24" customFormat="false" ht="15" hidden="false" customHeight="true" outlineLevel="0" collapsed="false">
      <c r="A24" s="8" t="n">
        <v>15</v>
      </c>
      <c r="B24" s="9" t="s">
        <v>50</v>
      </c>
      <c r="C24" s="10" t="s">
        <v>55</v>
      </c>
      <c r="D24" s="11" t="n">
        <v>46176</v>
      </c>
      <c r="E24" s="11" t="n">
        <v>46185</v>
      </c>
      <c r="F24" s="8" t="n">
        <f aca="false">E24-D24+1</f>
        <v>10</v>
      </c>
      <c r="G24" s="12" t="s">
        <v>18</v>
      </c>
      <c r="H24" s="10" t="s">
        <v>56</v>
      </c>
    </row>
    <row r="25" customFormat="false" ht="15" hidden="false" customHeight="true" outlineLevel="0" collapsed="false">
      <c r="A25" s="13" t="n">
        <v>16</v>
      </c>
      <c r="B25" s="14" t="s">
        <v>50</v>
      </c>
      <c r="C25" s="15" t="s">
        <v>57</v>
      </c>
      <c r="D25" s="16" t="n">
        <v>46177</v>
      </c>
      <c r="E25" s="16" t="n">
        <v>46179</v>
      </c>
      <c r="F25" s="13" t="n">
        <f aca="false">E25-D25+1</f>
        <v>3</v>
      </c>
      <c r="G25" s="17" t="s">
        <v>58</v>
      </c>
      <c r="H25" s="15" t="s">
        <v>59</v>
      </c>
    </row>
    <row r="26" customFormat="false" ht="15" hidden="false" customHeight="true" outlineLevel="0" collapsed="false">
      <c r="A26" s="8" t="n">
        <v>17</v>
      </c>
      <c r="B26" s="9" t="s">
        <v>50</v>
      </c>
      <c r="C26" s="10" t="s">
        <v>60</v>
      </c>
      <c r="D26" s="11" t="n">
        <v>46183</v>
      </c>
      <c r="E26" s="11" t="n">
        <v>46187</v>
      </c>
      <c r="F26" s="8" t="n">
        <f aca="false">E26-D26+1</f>
        <v>5</v>
      </c>
      <c r="G26" s="12" t="s">
        <v>61</v>
      </c>
      <c r="H26" s="10" t="s">
        <v>62</v>
      </c>
    </row>
    <row r="27" customFormat="false" ht="15" hidden="false" customHeight="true" outlineLevel="0" collapsed="false">
      <c r="A27" s="13" t="n">
        <v>18</v>
      </c>
      <c r="B27" s="14" t="s">
        <v>50</v>
      </c>
      <c r="C27" s="15" t="s">
        <v>63</v>
      </c>
      <c r="D27" s="16" t="n">
        <v>46185</v>
      </c>
      <c r="E27" s="16" t="n">
        <v>46191</v>
      </c>
      <c r="F27" s="13" t="n">
        <f aca="false">E27-D27+1</f>
        <v>7</v>
      </c>
      <c r="G27" s="17" t="s">
        <v>61</v>
      </c>
      <c r="H27" s="15" t="s">
        <v>64</v>
      </c>
    </row>
    <row r="28" customFormat="false" ht="15" hidden="false" customHeight="true" outlineLevel="0" collapsed="false">
      <c r="A28" s="8" t="n">
        <v>19</v>
      </c>
      <c r="B28" s="9" t="s">
        <v>50</v>
      </c>
      <c r="C28" s="10" t="s">
        <v>65</v>
      </c>
      <c r="D28" s="11" t="n">
        <v>46201</v>
      </c>
      <c r="E28" s="11" t="n">
        <v>46213</v>
      </c>
      <c r="F28" s="8" t="n">
        <f aca="false">E28-D28+1</f>
        <v>13</v>
      </c>
      <c r="G28" s="12" t="s">
        <v>18</v>
      </c>
      <c r="H28" s="10" t="s">
        <v>66</v>
      </c>
    </row>
    <row r="29" customFormat="false" ht="14.25" hidden="false" customHeight="true" outlineLevel="0" collapsed="false">
      <c r="A29" s="13" t="n">
        <v>20</v>
      </c>
      <c r="B29" s="14" t="s">
        <v>50</v>
      </c>
      <c r="C29" s="15" t="s">
        <v>67</v>
      </c>
      <c r="D29" s="16" t="n">
        <v>46215</v>
      </c>
      <c r="E29" s="16" t="n">
        <v>46221</v>
      </c>
      <c r="F29" s="13" t="n">
        <f aca="false">E29-D29+1</f>
        <v>7</v>
      </c>
      <c r="G29" s="17" t="s">
        <v>68</v>
      </c>
      <c r="H29" s="15"/>
    </row>
    <row r="30" customFormat="false" ht="15" hidden="false" customHeight="true" outlineLevel="0" collapsed="false">
      <c r="A30" s="20" t="n">
        <v>21</v>
      </c>
      <c r="B30" s="20"/>
      <c r="C30" s="20"/>
      <c r="D30" s="20"/>
      <c r="E30" s="20"/>
      <c r="F30" s="20"/>
      <c r="G30" s="20"/>
      <c r="H30" s="20"/>
    </row>
    <row r="31" customFormat="false" ht="15" hidden="false" customHeight="true" outlineLevel="0" collapsed="false">
      <c r="A31" s="18"/>
      <c r="B31" s="18"/>
      <c r="C31" s="18"/>
      <c r="D31" s="18"/>
      <c r="E31" s="18"/>
      <c r="F31" s="18"/>
      <c r="G31" s="18"/>
      <c r="H31" s="18"/>
    </row>
    <row r="32" customFormat="false" ht="15" hidden="false" customHeight="true" outlineLevel="0" collapsed="false">
      <c r="A32" s="19" t="s">
        <v>69</v>
      </c>
    </row>
    <row r="33" customFormat="false" ht="15" hidden="false" customHeight="true" outlineLevel="0" collapsed="false">
      <c r="A33" s="13" t="n">
        <v>23</v>
      </c>
      <c r="B33" s="14" t="s">
        <v>70</v>
      </c>
      <c r="C33" s="15" t="s">
        <v>71</v>
      </c>
      <c r="D33" s="16" t="n">
        <v>46143</v>
      </c>
      <c r="E33" s="16" t="n">
        <v>46170</v>
      </c>
      <c r="F33" s="13" t="n">
        <f aca="false">E33-D33+1</f>
        <v>28</v>
      </c>
      <c r="G33" s="17" t="s">
        <v>61</v>
      </c>
      <c r="H33" s="15" t="s">
        <v>72</v>
      </c>
    </row>
    <row r="34" customFormat="false" ht="15" hidden="false" customHeight="true" outlineLevel="0" collapsed="false">
      <c r="A34" s="8" t="n">
        <v>24</v>
      </c>
      <c r="B34" s="9" t="s">
        <v>70</v>
      </c>
      <c r="C34" s="10" t="s">
        <v>73</v>
      </c>
      <c r="D34" s="11" t="n">
        <v>46143</v>
      </c>
      <c r="E34" s="11" t="n">
        <v>46170</v>
      </c>
      <c r="F34" s="8" t="n">
        <f aca="false">E34-D34+1</f>
        <v>28</v>
      </c>
      <c r="G34" s="12" t="s">
        <v>74</v>
      </c>
      <c r="H34" s="10"/>
    </row>
    <row r="35" customFormat="false" ht="15" hidden="false" customHeight="true" outlineLevel="0" collapsed="false">
      <c r="A35" s="13" t="n">
        <v>25</v>
      </c>
      <c r="B35" s="14" t="s">
        <v>70</v>
      </c>
      <c r="C35" s="15" t="s">
        <v>75</v>
      </c>
      <c r="D35" s="16" t="n">
        <v>46171</v>
      </c>
      <c r="E35" s="16" t="n">
        <v>46171</v>
      </c>
      <c r="F35" s="13" t="n">
        <f aca="false">E35-D35+1</f>
        <v>1</v>
      </c>
      <c r="G35" s="17" t="s">
        <v>61</v>
      </c>
      <c r="H35" s="15" t="s">
        <v>76</v>
      </c>
    </row>
    <row r="36" customFormat="false" ht="15" hidden="false" customHeight="true" outlineLevel="0" collapsed="false">
      <c r="A36" s="8" t="n">
        <v>26</v>
      </c>
      <c r="B36" s="9" t="s">
        <v>70</v>
      </c>
      <c r="C36" s="10" t="s">
        <v>77</v>
      </c>
      <c r="D36" s="11" t="n">
        <v>46176</v>
      </c>
      <c r="E36" s="11" t="n">
        <v>46221</v>
      </c>
      <c r="F36" s="8" t="n">
        <f aca="false">E36-D36+1</f>
        <v>46</v>
      </c>
      <c r="G36" s="12" t="s">
        <v>18</v>
      </c>
      <c r="H36" s="10" t="s">
        <v>78</v>
      </c>
    </row>
    <row r="37" customFormat="false" ht="15" hidden="false" customHeight="true" outlineLevel="0" collapsed="false">
      <c r="A37" s="13" t="n">
        <v>27</v>
      </c>
      <c r="B37" s="14" t="s">
        <v>70</v>
      </c>
      <c r="C37" s="15" t="s">
        <v>79</v>
      </c>
      <c r="D37" s="16" t="n">
        <v>46181</v>
      </c>
      <c r="E37" s="16" t="n">
        <v>46191</v>
      </c>
      <c r="F37" s="13" t="n">
        <f aca="false">E37-D37+1</f>
        <v>11</v>
      </c>
      <c r="G37" s="17" t="s">
        <v>61</v>
      </c>
      <c r="H37" s="15" t="s">
        <v>80</v>
      </c>
    </row>
    <row r="38" customFormat="false" ht="15" hidden="false" customHeight="true" outlineLevel="0" collapsed="false">
      <c r="A38" s="8" t="n">
        <v>28</v>
      </c>
      <c r="B38" s="9" t="s">
        <v>70</v>
      </c>
      <c r="C38" s="10" t="s">
        <v>81</v>
      </c>
      <c r="D38" s="11" t="n">
        <v>46183</v>
      </c>
      <c r="E38" s="11" t="n">
        <v>46189</v>
      </c>
      <c r="F38" s="8" t="n">
        <f aca="false">E38-D38+1</f>
        <v>7</v>
      </c>
      <c r="G38" s="12" t="s">
        <v>61</v>
      </c>
      <c r="H38" s="10" t="s">
        <v>82</v>
      </c>
    </row>
    <row r="39" customFormat="false" ht="15" hidden="false" customHeight="true" outlineLevel="0" collapsed="false">
      <c r="A39" s="13" t="n">
        <v>29</v>
      </c>
      <c r="B39" s="14" t="s">
        <v>70</v>
      </c>
      <c r="C39" s="15" t="s">
        <v>83</v>
      </c>
      <c r="D39" s="16" t="n">
        <v>46187</v>
      </c>
      <c r="E39" s="16" t="n">
        <v>46201</v>
      </c>
      <c r="F39" s="13" t="n">
        <f aca="false">E39-D39+1</f>
        <v>15</v>
      </c>
      <c r="G39" s="17" t="s">
        <v>23</v>
      </c>
      <c r="H39" s="15" t="s">
        <v>84</v>
      </c>
    </row>
    <row r="40" customFormat="false" ht="15" hidden="false" customHeight="true" outlineLevel="0" collapsed="false">
      <c r="A40" s="8" t="n">
        <v>30</v>
      </c>
      <c r="B40" s="9" t="s">
        <v>70</v>
      </c>
      <c r="C40" s="10" t="s">
        <v>85</v>
      </c>
      <c r="D40" s="11" t="n">
        <v>46218</v>
      </c>
      <c r="E40" s="11" t="n">
        <v>46222</v>
      </c>
      <c r="F40" s="8" t="n">
        <f aca="false">E40-D40+1</f>
        <v>5</v>
      </c>
      <c r="G40" s="12" t="s">
        <v>23</v>
      </c>
      <c r="H40" s="10" t="s">
        <v>86</v>
      </c>
    </row>
    <row r="41" customFormat="false" ht="15" hidden="false" customHeight="true" outlineLevel="0" collapsed="false">
      <c r="A41" s="13" t="n">
        <v>31</v>
      </c>
      <c r="B41" s="14" t="s">
        <v>70</v>
      </c>
      <c r="C41" s="15" t="s">
        <v>87</v>
      </c>
      <c r="D41" s="16" t="n">
        <v>46218</v>
      </c>
      <c r="E41" s="16" t="n">
        <v>46227</v>
      </c>
      <c r="F41" s="13" t="n">
        <f aca="false">E41-D41+1</f>
        <v>10</v>
      </c>
      <c r="G41" s="17" t="s">
        <v>29</v>
      </c>
      <c r="H41" s="15" t="s">
        <v>88</v>
      </c>
    </row>
    <row r="42" customFormat="false" ht="15" hidden="false" customHeight="true" outlineLevel="0" collapsed="false">
      <c r="A42" s="8" t="n">
        <v>32</v>
      </c>
      <c r="B42" s="9" t="s">
        <v>70</v>
      </c>
      <c r="C42" s="10" t="s">
        <v>89</v>
      </c>
      <c r="D42" s="11" t="n">
        <v>46188</v>
      </c>
      <c r="E42" s="11" t="n">
        <v>46196</v>
      </c>
      <c r="F42" s="8" t="n">
        <f aca="false">E42-D42+1</f>
        <v>9</v>
      </c>
      <c r="G42" s="12" t="s">
        <v>61</v>
      </c>
      <c r="H42" s="10" t="s">
        <v>90</v>
      </c>
    </row>
    <row r="43" customFormat="false" ht="14.25" hidden="false" customHeight="true" outlineLevel="0" collapsed="false">
      <c r="A43" s="13" t="s">
        <v>91</v>
      </c>
      <c r="B43" s="14" t="s">
        <v>70</v>
      </c>
      <c r="C43" s="15" t="s">
        <v>92</v>
      </c>
      <c r="D43" s="16" t="n">
        <v>46209</v>
      </c>
      <c r="E43" s="16" t="n">
        <v>46216</v>
      </c>
      <c r="F43" s="13" t="n">
        <f aca="false">E43-D43+1</f>
        <v>8</v>
      </c>
      <c r="G43" s="17" t="s">
        <v>61</v>
      </c>
      <c r="H43" s="15" t="s">
        <v>93</v>
      </c>
    </row>
    <row r="44" customFormat="false" ht="15" hidden="false" customHeight="true" outlineLevel="0" collapsed="false">
      <c r="A44" s="8" t="n">
        <v>33</v>
      </c>
      <c r="B44" s="9" t="s">
        <v>70</v>
      </c>
      <c r="C44" s="10" t="s">
        <v>94</v>
      </c>
      <c r="D44" s="11" t="n">
        <v>46208</v>
      </c>
      <c r="E44" s="11" t="n">
        <v>46213</v>
      </c>
      <c r="F44" s="8" t="n">
        <f aca="false">E44-D44+1</f>
        <v>6</v>
      </c>
      <c r="G44" s="12" t="s">
        <v>23</v>
      </c>
      <c r="H44" s="10" t="s">
        <v>95</v>
      </c>
    </row>
    <row r="45" customFormat="false" ht="15" hidden="false" customHeight="true" outlineLevel="0" collapsed="false">
      <c r="A45" s="8" t="n">
        <v>35</v>
      </c>
      <c r="B45" s="9" t="s">
        <v>70</v>
      </c>
      <c r="C45" s="10" t="s">
        <v>96</v>
      </c>
      <c r="D45" s="11" t="n">
        <v>46216</v>
      </c>
      <c r="E45" s="11" t="n">
        <v>46225</v>
      </c>
      <c r="F45" s="8" t="n">
        <f aca="false">E45-D45+1</f>
        <v>10</v>
      </c>
      <c r="G45" s="12" t="s">
        <v>68</v>
      </c>
      <c r="H45" s="10" t="s">
        <v>97</v>
      </c>
    </row>
    <row r="46" customFormat="false" ht="15" hidden="false" customHeight="true" outlineLevel="0" collapsed="false">
      <c r="A46" s="13" t="n">
        <v>36</v>
      </c>
      <c r="B46" s="14" t="s">
        <v>70</v>
      </c>
      <c r="C46" s="15" t="s">
        <v>98</v>
      </c>
      <c r="D46" s="16" t="n">
        <v>46224</v>
      </c>
      <c r="E46" s="16" t="n">
        <v>46224</v>
      </c>
      <c r="F46" s="13" t="n">
        <f aca="false">E46-D46+1</f>
        <v>1</v>
      </c>
      <c r="G46" s="17" t="s">
        <v>23</v>
      </c>
      <c r="H46" s="15" t="s">
        <v>99</v>
      </c>
    </row>
    <row r="47" customFormat="false" ht="15" hidden="false" customHeight="true" outlineLevel="0" collapsed="false">
      <c r="A47" s="13" t="s">
        <v>100</v>
      </c>
      <c r="B47" s="14" t="s">
        <v>70</v>
      </c>
      <c r="C47" s="15" t="s">
        <v>101</v>
      </c>
      <c r="D47" s="16" t="n">
        <v>46217</v>
      </c>
      <c r="E47" s="16" t="n">
        <v>46222</v>
      </c>
      <c r="F47" s="13" t="n">
        <f aca="false">E47-D47+1</f>
        <v>6</v>
      </c>
      <c r="G47" s="17" t="s">
        <v>23</v>
      </c>
      <c r="H47" s="15" t="s">
        <v>102</v>
      </c>
    </row>
    <row r="48" customFormat="false" ht="15" hidden="false" customHeight="true" outlineLevel="0" collapsed="false">
      <c r="A48" s="8" t="s">
        <v>103</v>
      </c>
      <c r="B48" s="9" t="s">
        <v>70</v>
      </c>
      <c r="C48" s="10" t="s">
        <v>104</v>
      </c>
      <c r="D48" s="11" t="n">
        <v>46225</v>
      </c>
      <c r="E48" s="11" t="n">
        <v>46239</v>
      </c>
      <c r="F48" s="8" t="n">
        <f aca="false">E48-D48+1</f>
        <v>15</v>
      </c>
      <c r="G48" s="12" t="s">
        <v>61</v>
      </c>
      <c r="H48" s="10" t="s">
        <v>105</v>
      </c>
    </row>
    <row r="49" customFormat="false" ht="15" hidden="false" customHeight="true" outlineLevel="0" collapsed="false">
      <c r="A49" s="13" t="s">
        <v>106</v>
      </c>
      <c r="B49" s="14" t="s">
        <v>70</v>
      </c>
      <c r="C49" s="15" t="s">
        <v>107</v>
      </c>
      <c r="D49" s="16" t="n">
        <v>46225</v>
      </c>
      <c r="E49" s="16" t="n">
        <v>46239</v>
      </c>
      <c r="F49" s="13" t="n">
        <f aca="false">E49-D49+1</f>
        <v>15</v>
      </c>
      <c r="G49" s="17" t="s">
        <v>58</v>
      </c>
      <c r="H49" s="15" t="s">
        <v>108</v>
      </c>
    </row>
    <row r="50" customFormat="false" ht="15" hidden="false" customHeight="true" outlineLevel="0" collapsed="false">
      <c r="A50" s="8" t="s">
        <v>109</v>
      </c>
      <c r="B50" s="9" t="s">
        <v>70</v>
      </c>
      <c r="C50" s="10" t="s">
        <v>110</v>
      </c>
      <c r="D50" s="11" t="n">
        <v>46225</v>
      </c>
      <c r="E50" s="11" t="n">
        <v>46239</v>
      </c>
      <c r="F50" s="8" t="n">
        <f aca="false">E50-D50+1</f>
        <v>15</v>
      </c>
      <c r="G50" s="12" t="s">
        <v>58</v>
      </c>
      <c r="H50" s="10" t="s">
        <v>111</v>
      </c>
    </row>
    <row r="51" customFormat="false" ht="15" hidden="false" customHeight="true" outlineLevel="0" collapsed="false">
      <c r="A51" s="13" t="s">
        <v>112</v>
      </c>
      <c r="B51" s="14" t="s">
        <v>70</v>
      </c>
      <c r="C51" s="15" t="s">
        <v>113</v>
      </c>
      <c r="D51" s="16" t="n">
        <v>46225</v>
      </c>
      <c r="E51" s="16" t="n">
        <v>46239</v>
      </c>
      <c r="F51" s="13" t="n">
        <f aca="false">E51-D51+1</f>
        <v>15</v>
      </c>
      <c r="G51" s="17" t="s">
        <v>58</v>
      </c>
      <c r="H51" s="15" t="s">
        <v>114</v>
      </c>
    </row>
    <row r="52" customFormat="false" ht="15" hidden="false" customHeight="true" outlineLevel="0" collapsed="false">
      <c r="A52" s="8" t="s">
        <v>115</v>
      </c>
      <c r="B52" s="9" t="s">
        <v>70</v>
      </c>
      <c r="C52" s="10" t="s">
        <v>116</v>
      </c>
      <c r="D52" s="11" t="n">
        <v>46225</v>
      </c>
      <c r="E52" s="11" t="n">
        <v>46239</v>
      </c>
      <c r="F52" s="8" t="n">
        <f aca="false">E52-D52+1</f>
        <v>15</v>
      </c>
      <c r="G52" s="12" t="s">
        <v>61</v>
      </c>
      <c r="H52" s="10" t="s">
        <v>117</v>
      </c>
    </row>
    <row r="53" customFormat="false" ht="15" hidden="false" customHeight="true" outlineLevel="0" collapsed="false">
      <c r="A53" s="13" t="s">
        <v>118</v>
      </c>
      <c r="B53" s="14" t="s">
        <v>70</v>
      </c>
      <c r="C53" s="15" t="s">
        <v>119</v>
      </c>
      <c r="D53" s="16" t="n">
        <v>46225</v>
      </c>
      <c r="E53" s="16" t="n">
        <v>46239</v>
      </c>
      <c r="F53" s="13" t="n">
        <f aca="false">E53-D53+1</f>
        <v>15</v>
      </c>
      <c r="G53" s="17" t="s">
        <v>29</v>
      </c>
      <c r="H53" s="15" t="s">
        <v>120</v>
      </c>
    </row>
    <row r="54" customFormat="false" ht="15" hidden="false" customHeight="true" outlineLevel="0" collapsed="false">
      <c r="A54" s="20" t="n">
        <v>37</v>
      </c>
      <c r="B54" s="20"/>
      <c r="C54" s="20"/>
      <c r="D54" s="20"/>
      <c r="E54" s="20"/>
      <c r="F54" s="20"/>
      <c r="G54" s="20"/>
      <c r="H54" s="20"/>
    </row>
    <row r="55" customFormat="false" ht="15" hidden="false" customHeight="true" outlineLevel="0" collapsed="false">
      <c r="A55" s="18"/>
      <c r="B55" s="18"/>
      <c r="C55" s="18"/>
      <c r="D55" s="18"/>
      <c r="E55" s="18"/>
      <c r="F55" s="18"/>
      <c r="G55" s="18"/>
      <c r="H55" s="18"/>
    </row>
    <row r="56" customFormat="false" ht="15" hidden="false" customHeight="true" outlineLevel="0" collapsed="false">
      <c r="A56" s="19" t="s">
        <v>121</v>
      </c>
    </row>
    <row r="57" customFormat="false" ht="14.25" hidden="false" customHeight="true" outlineLevel="0" collapsed="false">
      <c r="A57" s="13" t="s">
        <v>122</v>
      </c>
      <c r="B57" s="14" t="s">
        <v>123</v>
      </c>
      <c r="C57" s="15" t="s">
        <v>124</v>
      </c>
      <c r="D57" s="16" t="n">
        <v>46193</v>
      </c>
      <c r="E57" s="16" t="n">
        <v>46204</v>
      </c>
      <c r="F57" s="13" t="n">
        <f aca="false">E57-D57+1</f>
        <v>12</v>
      </c>
      <c r="G57" s="17" t="s">
        <v>18</v>
      </c>
      <c r="H57" s="15" t="s">
        <v>125</v>
      </c>
    </row>
    <row r="58" customFormat="false" ht="15" hidden="false" customHeight="true" outlineLevel="0" collapsed="false">
      <c r="A58" s="8" t="s">
        <v>126</v>
      </c>
      <c r="B58" s="9" t="s">
        <v>123</v>
      </c>
      <c r="C58" s="10" t="s">
        <v>127</v>
      </c>
      <c r="D58" s="11" t="n">
        <v>46207</v>
      </c>
      <c r="E58" s="11" t="n">
        <v>46208</v>
      </c>
      <c r="F58" s="8" t="n">
        <f aca="false">E58-D58+1</f>
        <v>2</v>
      </c>
      <c r="G58" s="12" t="s">
        <v>18</v>
      </c>
      <c r="H58" s="10" t="s">
        <v>128</v>
      </c>
    </row>
    <row r="59" customFormat="false" ht="15" hidden="false" customHeight="true" outlineLevel="0" collapsed="false">
      <c r="A59" s="13" t="s">
        <v>129</v>
      </c>
      <c r="B59" s="14" t="s">
        <v>123</v>
      </c>
      <c r="C59" s="15" t="s">
        <v>130</v>
      </c>
      <c r="D59" s="16" t="n">
        <v>46206</v>
      </c>
      <c r="E59" s="16" t="n">
        <v>46206</v>
      </c>
      <c r="F59" s="13" t="n">
        <f aca="false">E59-D59+1</f>
        <v>1</v>
      </c>
      <c r="G59" s="17" t="s">
        <v>23</v>
      </c>
      <c r="H59" s="15" t="s">
        <v>131</v>
      </c>
    </row>
    <row r="60" customFormat="false" ht="15" hidden="false" customHeight="true" outlineLevel="0" collapsed="false">
      <c r="A60" s="8" t="s">
        <v>132</v>
      </c>
      <c r="B60" s="9" t="s">
        <v>123</v>
      </c>
      <c r="C60" s="10" t="s">
        <v>133</v>
      </c>
      <c r="D60" s="11" t="n">
        <v>46207</v>
      </c>
      <c r="E60" s="11" t="n">
        <v>46209</v>
      </c>
      <c r="F60" s="8" t="n">
        <f aca="false">E60-D60+1</f>
        <v>3</v>
      </c>
      <c r="G60" s="12" t="s">
        <v>23</v>
      </c>
      <c r="H60" s="10" t="s">
        <v>134</v>
      </c>
    </row>
    <row r="61" customFormat="false" ht="15" hidden="false" customHeight="true" outlineLevel="0" collapsed="false">
      <c r="A61" s="13" t="s">
        <v>135</v>
      </c>
      <c r="B61" s="14" t="s">
        <v>123</v>
      </c>
      <c r="C61" s="15" t="s">
        <v>136</v>
      </c>
      <c r="D61" s="16" t="n">
        <v>46211</v>
      </c>
      <c r="E61" s="16" t="n">
        <v>46213</v>
      </c>
      <c r="F61" s="13" t="n">
        <f aca="false">E61-D61+1</f>
        <v>3</v>
      </c>
      <c r="G61" s="17" t="s">
        <v>61</v>
      </c>
      <c r="H61" s="15" t="s">
        <v>137</v>
      </c>
    </row>
    <row r="62" customFormat="false" ht="15" hidden="false" customHeight="true" outlineLevel="0" collapsed="false">
      <c r="A62" s="8" t="s">
        <v>138</v>
      </c>
      <c r="B62" s="9" t="s">
        <v>123</v>
      </c>
      <c r="C62" s="10" t="s">
        <v>139</v>
      </c>
      <c r="D62" s="11" t="n">
        <v>46210</v>
      </c>
      <c r="E62" s="11" t="n">
        <v>46210</v>
      </c>
      <c r="F62" s="8" t="n">
        <f aca="false">E62-D62+1</f>
        <v>1</v>
      </c>
      <c r="G62" s="12" t="s">
        <v>18</v>
      </c>
      <c r="H62" s="10" t="s">
        <v>140</v>
      </c>
    </row>
    <row r="63" customFormat="false" ht="15" hidden="false" customHeight="true" outlineLevel="0" collapsed="false">
      <c r="A63" s="20" t="s">
        <v>141</v>
      </c>
      <c r="B63" s="20"/>
      <c r="C63" s="20"/>
      <c r="D63" s="20"/>
      <c r="E63" s="20"/>
      <c r="F63" s="20"/>
      <c r="G63" s="20"/>
      <c r="H63" s="20"/>
    </row>
    <row r="64" customFormat="false" ht="15" hidden="false" customHeight="true" outlineLevel="0" collapsed="false">
      <c r="A64" s="18"/>
      <c r="B64" s="18"/>
      <c r="C64" s="18"/>
      <c r="D64" s="18"/>
      <c r="E64" s="18"/>
      <c r="F64" s="18"/>
      <c r="G64" s="18"/>
      <c r="H64" s="18"/>
    </row>
    <row r="65" customFormat="false" ht="15" hidden="false" customHeight="true" outlineLevel="0" collapsed="false">
      <c r="A65" s="19" t="s">
        <v>142</v>
      </c>
    </row>
    <row r="66" customFormat="false" ht="15" hidden="false" customHeight="true" outlineLevel="0" collapsed="false">
      <c r="A66" s="13" t="n">
        <v>39</v>
      </c>
      <c r="B66" s="14" t="s">
        <v>143</v>
      </c>
      <c r="C66" s="15" t="s">
        <v>144</v>
      </c>
      <c r="D66" s="16" t="n">
        <v>46171</v>
      </c>
      <c r="E66" s="16" t="n">
        <v>46171</v>
      </c>
      <c r="F66" s="13" t="n">
        <f aca="false">E66-D66+1</f>
        <v>1</v>
      </c>
      <c r="G66" s="17" t="s">
        <v>23</v>
      </c>
      <c r="H66" s="15" t="s">
        <v>145</v>
      </c>
    </row>
    <row r="67" customFormat="false" ht="15" hidden="false" customHeight="true" outlineLevel="0" collapsed="false">
      <c r="A67" s="8" t="n">
        <v>40</v>
      </c>
      <c r="B67" s="9" t="s">
        <v>143</v>
      </c>
      <c r="C67" s="10" t="s">
        <v>146</v>
      </c>
      <c r="D67" s="11" t="n">
        <v>46174</v>
      </c>
      <c r="E67" s="11" t="n">
        <v>46218</v>
      </c>
      <c r="F67" s="8" t="n">
        <f aca="false">E67-D67+1</f>
        <v>45</v>
      </c>
      <c r="G67" s="12" t="s">
        <v>23</v>
      </c>
      <c r="H67" s="10" t="s">
        <v>147</v>
      </c>
    </row>
    <row r="68" customFormat="false" ht="15" hidden="false" customHeight="true" outlineLevel="0" collapsed="false">
      <c r="A68" s="13" t="n">
        <v>41</v>
      </c>
      <c r="B68" s="14" t="s">
        <v>143</v>
      </c>
      <c r="C68" s="15" t="s">
        <v>148</v>
      </c>
      <c r="D68" s="16" t="n">
        <v>46176</v>
      </c>
      <c r="E68" s="16" t="n">
        <v>46183</v>
      </c>
      <c r="F68" s="13" t="n">
        <f aca="false">E68-D68+1</f>
        <v>8</v>
      </c>
      <c r="G68" s="17" t="s">
        <v>149</v>
      </c>
      <c r="H68" s="15" t="s">
        <v>150</v>
      </c>
    </row>
    <row r="69" customFormat="false" ht="15" hidden="false" customHeight="true" outlineLevel="0" collapsed="false">
      <c r="A69" s="13" t="s">
        <v>151</v>
      </c>
      <c r="B69" s="14" t="s">
        <v>143</v>
      </c>
      <c r="C69" s="15" t="s">
        <v>152</v>
      </c>
      <c r="D69" s="16" t="n">
        <v>46220</v>
      </c>
      <c r="E69" s="16" t="n">
        <v>46222</v>
      </c>
      <c r="F69" s="13" t="n">
        <f aca="false">E69-D69+1</f>
        <v>3</v>
      </c>
      <c r="G69" s="17" t="s">
        <v>149</v>
      </c>
      <c r="H69" s="15" t="s">
        <v>153</v>
      </c>
    </row>
    <row r="70" customFormat="false" ht="15" hidden="false" customHeight="true" outlineLevel="0" collapsed="false">
      <c r="A70" s="8" t="n">
        <v>42</v>
      </c>
      <c r="B70" s="9" t="s">
        <v>143</v>
      </c>
      <c r="C70" s="10" t="s">
        <v>154</v>
      </c>
      <c r="D70" s="11" t="n">
        <v>46217</v>
      </c>
      <c r="E70" s="11" t="n">
        <v>46220</v>
      </c>
      <c r="F70" s="8" t="n">
        <f aca="false">E70-D70+1</f>
        <v>4</v>
      </c>
      <c r="G70" s="12" t="s">
        <v>149</v>
      </c>
      <c r="H70" s="10" t="s">
        <v>155</v>
      </c>
    </row>
    <row r="71" customFormat="false" ht="15" hidden="false" customHeight="true" outlineLevel="0" collapsed="false">
      <c r="A71" s="8" t="s">
        <v>156</v>
      </c>
      <c r="B71" s="9" t="s">
        <v>143</v>
      </c>
      <c r="C71" s="10" t="s">
        <v>157</v>
      </c>
      <c r="D71" s="11" t="n">
        <v>46228</v>
      </c>
      <c r="E71" s="11" t="n">
        <v>46229</v>
      </c>
      <c r="F71" s="8" t="n">
        <f aca="false">E71-D71+1</f>
        <v>2</v>
      </c>
      <c r="G71" s="12" t="s">
        <v>149</v>
      </c>
      <c r="H71" s="10" t="s">
        <v>158</v>
      </c>
    </row>
    <row r="72" customFormat="false" ht="15" hidden="false" customHeight="true" outlineLevel="0" collapsed="false">
      <c r="A72" s="13" t="n">
        <v>43</v>
      </c>
      <c r="B72" s="14" t="s">
        <v>143</v>
      </c>
      <c r="C72" s="15" t="s">
        <v>159</v>
      </c>
      <c r="D72" s="16" t="n">
        <v>46185</v>
      </c>
      <c r="E72" s="16" t="n">
        <v>46185</v>
      </c>
      <c r="F72" s="13" t="n">
        <f aca="false">E72-D72+1</f>
        <v>1</v>
      </c>
      <c r="G72" s="17" t="s">
        <v>149</v>
      </c>
      <c r="H72" s="15" t="s">
        <v>160</v>
      </c>
    </row>
    <row r="73" customFormat="false" ht="15" hidden="false" customHeight="true" outlineLevel="0" collapsed="false">
      <c r="A73" s="8" t="n">
        <v>44</v>
      </c>
      <c r="B73" s="9" t="s">
        <v>143</v>
      </c>
      <c r="C73" s="10" t="s">
        <v>161</v>
      </c>
      <c r="D73" s="11" t="n">
        <v>46217</v>
      </c>
      <c r="E73" s="11" t="n">
        <v>46222</v>
      </c>
      <c r="F73" s="8" t="n">
        <f aca="false">E73-D73+1</f>
        <v>6</v>
      </c>
      <c r="G73" s="12" t="s">
        <v>23</v>
      </c>
      <c r="H73" s="10" t="s">
        <v>162</v>
      </c>
    </row>
    <row r="74" customFormat="false" ht="15" hidden="false" customHeight="true" outlineLevel="0" collapsed="false">
      <c r="A74" s="13" t="s">
        <v>163</v>
      </c>
      <c r="B74" s="14" t="s">
        <v>143</v>
      </c>
      <c r="C74" s="15" t="s">
        <v>164</v>
      </c>
      <c r="D74" s="16" t="n">
        <v>46210</v>
      </c>
      <c r="E74" s="16" t="n">
        <v>46210</v>
      </c>
      <c r="F74" s="13" t="n">
        <f aca="false">E74-D74+1</f>
        <v>1</v>
      </c>
      <c r="G74" s="17" t="s">
        <v>23</v>
      </c>
      <c r="H74" s="15" t="s">
        <v>165</v>
      </c>
    </row>
    <row r="75" customFormat="false" ht="12" hidden="false" customHeight="true" outlineLevel="0" collapsed="false">
      <c r="A75" s="13" t="n">
        <v>46</v>
      </c>
      <c r="B75" s="14" t="s">
        <v>143</v>
      </c>
      <c r="C75" s="15" t="s">
        <v>166</v>
      </c>
      <c r="D75" s="16" t="n">
        <v>46217</v>
      </c>
      <c r="E75" s="16" t="n">
        <v>46224</v>
      </c>
      <c r="F75" s="13" t="n">
        <f aca="false">E75-D75+1</f>
        <v>8</v>
      </c>
      <c r="G75" s="17" t="s">
        <v>18</v>
      </c>
      <c r="H75" s="15" t="s">
        <v>167</v>
      </c>
    </row>
    <row r="76" customFormat="false" ht="15" hidden="false" customHeight="true" outlineLevel="0" collapsed="false">
      <c r="A76" s="8" t="s">
        <v>168</v>
      </c>
      <c r="B76" s="9" t="s">
        <v>143</v>
      </c>
      <c r="C76" s="10" t="s">
        <v>169</v>
      </c>
      <c r="D76" s="11" t="n">
        <v>46209</v>
      </c>
      <c r="E76" s="11" t="n">
        <v>46229</v>
      </c>
      <c r="F76" s="8" t="n">
        <f aca="false">E76-D76+1</f>
        <v>21</v>
      </c>
      <c r="G76" s="12" t="s">
        <v>18</v>
      </c>
      <c r="H76" s="10" t="s">
        <v>170</v>
      </c>
    </row>
    <row r="77" customFormat="false" ht="15" hidden="false" customHeight="true" outlineLevel="0" collapsed="false">
      <c r="A77" s="13" t="s">
        <v>171</v>
      </c>
      <c r="B77" s="14" t="s">
        <v>143</v>
      </c>
      <c r="C77" s="15" t="s">
        <v>172</v>
      </c>
      <c r="D77" s="16" t="n">
        <v>46211</v>
      </c>
      <c r="E77" s="16" t="n">
        <v>46227</v>
      </c>
      <c r="F77" s="13" t="n">
        <f aca="false">E77-D77+1</f>
        <v>17</v>
      </c>
      <c r="G77" s="17" t="s">
        <v>61</v>
      </c>
      <c r="H77" s="15" t="s">
        <v>173</v>
      </c>
    </row>
    <row r="78" customFormat="false" ht="15" hidden="false" customHeight="true" outlineLevel="0" collapsed="false">
      <c r="A78" s="13" t="s">
        <v>174</v>
      </c>
      <c r="B78" s="14" t="s">
        <v>143</v>
      </c>
      <c r="C78" s="15" t="s">
        <v>175</v>
      </c>
      <c r="D78" s="16" t="n">
        <v>46211</v>
      </c>
      <c r="E78" s="16" t="n">
        <v>46212</v>
      </c>
      <c r="F78" s="13" t="n">
        <f aca="false">E78-D78+1</f>
        <v>2</v>
      </c>
      <c r="G78" s="17" t="s">
        <v>23</v>
      </c>
      <c r="H78" s="15" t="s">
        <v>176</v>
      </c>
    </row>
    <row r="79" customFormat="false" ht="15" hidden="false" customHeight="true" outlineLevel="0" collapsed="false">
      <c r="A79" s="8" t="n">
        <v>47</v>
      </c>
      <c r="B79" s="9" t="s">
        <v>143</v>
      </c>
      <c r="C79" s="10" t="s">
        <v>177</v>
      </c>
      <c r="D79" s="11" t="n">
        <v>46216</v>
      </c>
      <c r="E79" s="11" t="n">
        <v>46219</v>
      </c>
      <c r="F79" s="8" t="n">
        <f aca="false">E79-D79+1</f>
        <v>4</v>
      </c>
      <c r="G79" s="12" t="s">
        <v>18</v>
      </c>
      <c r="H79" s="10" t="s">
        <v>178</v>
      </c>
    </row>
    <row r="80" customFormat="false" ht="15" hidden="false" customHeight="true" outlineLevel="0" collapsed="false">
      <c r="A80" s="13" t="s">
        <v>179</v>
      </c>
      <c r="B80" s="14" t="s">
        <v>143</v>
      </c>
      <c r="C80" s="15" t="s">
        <v>180</v>
      </c>
      <c r="D80" s="16" t="n">
        <v>46216</v>
      </c>
      <c r="E80" s="16" t="n">
        <v>46223</v>
      </c>
      <c r="F80" s="13" t="n">
        <f aca="false">E80-D80+1</f>
        <v>8</v>
      </c>
      <c r="G80" s="17" t="s">
        <v>44</v>
      </c>
      <c r="H80" s="15" t="s">
        <v>181</v>
      </c>
    </row>
    <row r="81" customFormat="false" ht="15" hidden="false" customHeight="true" outlineLevel="0" collapsed="false">
      <c r="A81" s="13" t="s">
        <v>182</v>
      </c>
      <c r="B81" s="14" t="s">
        <v>143</v>
      </c>
      <c r="C81" s="15" t="s">
        <v>183</v>
      </c>
      <c r="D81" s="16" t="n">
        <v>46211</v>
      </c>
      <c r="E81" s="16" t="n">
        <v>46219</v>
      </c>
      <c r="F81" s="13" t="n">
        <f aca="false">E81-D81+1</f>
        <v>9</v>
      </c>
      <c r="G81" s="17" t="s">
        <v>149</v>
      </c>
      <c r="H81" s="15" t="s">
        <v>184</v>
      </c>
    </row>
    <row r="82" customFormat="false" ht="15" hidden="false" customHeight="true" outlineLevel="0" collapsed="false">
      <c r="A82" s="8" t="n">
        <v>48</v>
      </c>
      <c r="B82" s="9" t="s">
        <v>143</v>
      </c>
      <c r="C82" s="10" t="s">
        <v>185</v>
      </c>
      <c r="D82" s="11" t="n">
        <v>46219</v>
      </c>
      <c r="E82" s="11" t="n">
        <v>46229</v>
      </c>
      <c r="F82" s="8" t="n">
        <f aca="false">E82-D82+1</f>
        <v>11</v>
      </c>
      <c r="G82" s="12" t="s">
        <v>44</v>
      </c>
      <c r="H82" s="10" t="s">
        <v>186</v>
      </c>
    </row>
    <row r="83" customFormat="false" ht="15" hidden="false" customHeight="true" outlineLevel="0" collapsed="false">
      <c r="A83" s="13" t="n">
        <v>49</v>
      </c>
      <c r="B83" s="14" t="s">
        <v>143</v>
      </c>
      <c r="C83" s="15" t="s">
        <v>187</v>
      </c>
      <c r="D83" s="16" t="n">
        <v>46231</v>
      </c>
      <c r="E83" s="16" t="n">
        <v>46237</v>
      </c>
      <c r="F83" s="13" t="n">
        <f aca="false">E83-D83+1</f>
        <v>7</v>
      </c>
      <c r="G83" s="17" t="s">
        <v>149</v>
      </c>
      <c r="H83" s="15" t="s">
        <v>188</v>
      </c>
    </row>
    <row r="84" customFormat="false" ht="15" hidden="false" customHeight="true" outlineLevel="0" collapsed="false">
      <c r="A84" s="13" t="s">
        <v>189</v>
      </c>
      <c r="B84" s="14" t="s">
        <v>143</v>
      </c>
      <c r="C84" s="15" t="s">
        <v>190</v>
      </c>
      <c r="D84" s="16" t="n">
        <v>46222</v>
      </c>
      <c r="E84" s="16" t="n">
        <v>46223</v>
      </c>
      <c r="F84" s="13" t="n">
        <f aca="false">E84-D84+1</f>
        <v>2</v>
      </c>
      <c r="G84" s="17" t="s">
        <v>29</v>
      </c>
      <c r="H84" s="15" t="s">
        <v>191</v>
      </c>
    </row>
    <row r="85" customFormat="false" ht="15" hidden="false" customHeight="true" outlineLevel="0" collapsed="false">
      <c r="A85" s="13" t="s">
        <v>192</v>
      </c>
      <c r="B85" s="14" t="s">
        <v>143</v>
      </c>
      <c r="C85" s="15" t="s">
        <v>193</v>
      </c>
      <c r="D85" s="16" t="n">
        <v>46222</v>
      </c>
      <c r="E85" s="16" t="n">
        <v>46223</v>
      </c>
      <c r="F85" s="13" t="n">
        <f aca="false">E85-D85+1</f>
        <v>2</v>
      </c>
      <c r="G85" s="17" t="s">
        <v>23</v>
      </c>
      <c r="H85" s="15" t="s">
        <v>194</v>
      </c>
    </row>
    <row r="86" customFormat="false" ht="15" hidden="false" customHeight="true" outlineLevel="0" collapsed="false">
      <c r="A86" s="13" t="s">
        <v>195</v>
      </c>
      <c r="B86" s="14" t="s">
        <v>143</v>
      </c>
      <c r="C86" s="15" t="s">
        <v>196</v>
      </c>
      <c r="D86" s="16" t="n">
        <v>46223</v>
      </c>
      <c r="E86" s="16" t="n">
        <v>46224</v>
      </c>
      <c r="F86" s="13" t="n">
        <f aca="false">E86-D86+1</f>
        <v>2</v>
      </c>
      <c r="G86" s="17" t="s">
        <v>23</v>
      </c>
      <c r="H86" s="15" t="s">
        <v>197</v>
      </c>
    </row>
    <row r="87" customFormat="false" ht="15" hidden="false" customHeight="true" outlineLevel="0" collapsed="false">
      <c r="A87" s="13" t="s">
        <v>198</v>
      </c>
      <c r="B87" s="14" t="s">
        <v>143</v>
      </c>
      <c r="C87" s="15" t="s">
        <v>199</v>
      </c>
      <c r="D87" s="16" t="n">
        <v>46225</v>
      </c>
      <c r="E87" s="16" t="n">
        <v>46225</v>
      </c>
      <c r="F87" s="13" t="n">
        <f aca="false">E87-D87+1</f>
        <v>1</v>
      </c>
      <c r="G87" s="17" t="s">
        <v>23</v>
      </c>
      <c r="H87" s="15" t="s">
        <v>200</v>
      </c>
    </row>
    <row r="88" customFormat="false" ht="15" hidden="false" customHeight="true" outlineLevel="0" collapsed="false">
      <c r="A88" s="13" t="s">
        <v>201</v>
      </c>
      <c r="B88" s="14" t="s">
        <v>143</v>
      </c>
      <c r="C88" s="15" t="s">
        <v>202</v>
      </c>
      <c r="D88" s="16" t="n">
        <v>46227</v>
      </c>
      <c r="E88" s="16" t="n">
        <v>46227</v>
      </c>
      <c r="F88" s="13" t="n">
        <f aca="false">E88-D88+1</f>
        <v>1</v>
      </c>
      <c r="G88" s="17" t="s">
        <v>44</v>
      </c>
      <c r="H88" s="15" t="s">
        <v>203</v>
      </c>
    </row>
    <row r="89" customFormat="false" ht="12" hidden="false" customHeight="true" outlineLevel="0" collapsed="false">
      <c r="A89" s="13" t="s">
        <v>204</v>
      </c>
      <c r="B89" s="14" t="s">
        <v>143</v>
      </c>
      <c r="C89" s="15" t="s">
        <v>205</v>
      </c>
      <c r="D89" s="16" t="n">
        <v>46227</v>
      </c>
      <c r="E89" s="16" t="n">
        <v>46227</v>
      </c>
      <c r="F89" s="13" t="n">
        <f aca="false">E89-D89+1</f>
        <v>1</v>
      </c>
      <c r="G89" s="17" t="s">
        <v>23</v>
      </c>
      <c r="H89" s="15" t="s">
        <v>206</v>
      </c>
    </row>
    <row r="90" customFormat="false" ht="15" hidden="false" customHeight="true" outlineLevel="0" collapsed="false">
      <c r="A90" s="13" t="s">
        <v>207</v>
      </c>
      <c r="B90" s="14" t="s">
        <v>143</v>
      </c>
      <c r="C90" s="15" t="s">
        <v>208</v>
      </c>
      <c r="D90" s="16" t="n">
        <v>46230</v>
      </c>
      <c r="E90" s="16" t="n">
        <v>46230</v>
      </c>
      <c r="F90" s="13" t="n">
        <f aca="false">E90-D90+1</f>
        <v>1</v>
      </c>
      <c r="G90" s="17" t="s">
        <v>23</v>
      </c>
      <c r="H90" s="15" t="s">
        <v>209</v>
      </c>
    </row>
    <row r="91" customFormat="false" ht="15" hidden="false" customHeight="true" outlineLevel="0" collapsed="false">
      <c r="A91" s="13" t="s">
        <v>210</v>
      </c>
      <c r="B91" s="14" t="s">
        <v>143</v>
      </c>
      <c r="C91" s="15" t="s">
        <v>211</v>
      </c>
      <c r="D91" s="16" t="n">
        <v>46236</v>
      </c>
      <c r="E91" s="16" t="n">
        <v>46237</v>
      </c>
      <c r="F91" s="13" t="n">
        <f aca="false">E91-D91+1</f>
        <v>2</v>
      </c>
      <c r="G91" s="17" t="s">
        <v>149</v>
      </c>
      <c r="H91" s="15" t="s">
        <v>212</v>
      </c>
    </row>
    <row r="92" customFormat="false" ht="15" hidden="false" customHeight="true" outlineLevel="0" collapsed="false">
      <c r="A92" s="13" t="s">
        <v>213</v>
      </c>
      <c r="B92" s="14" t="s">
        <v>143</v>
      </c>
      <c r="C92" s="15" t="s">
        <v>214</v>
      </c>
      <c r="D92" s="16" t="n">
        <v>46236</v>
      </c>
      <c r="E92" s="16" t="n">
        <v>46238</v>
      </c>
      <c r="F92" s="13" t="n">
        <f aca="false">E92-D92+1</f>
        <v>3</v>
      </c>
      <c r="G92" s="17" t="s">
        <v>13</v>
      </c>
      <c r="H92" s="15" t="s">
        <v>215</v>
      </c>
    </row>
    <row r="93" customFormat="false" ht="15" hidden="false" customHeight="true" outlineLevel="0" collapsed="false">
      <c r="A93" s="13" t="s">
        <v>216</v>
      </c>
      <c r="B93" s="14" t="s">
        <v>143</v>
      </c>
      <c r="C93" s="15" t="s">
        <v>217</v>
      </c>
      <c r="D93" s="16" t="n">
        <v>46240</v>
      </c>
      <c r="E93" s="16" t="n">
        <v>46253</v>
      </c>
      <c r="F93" s="13" t="n">
        <f aca="false">E93-D93+1</f>
        <v>14</v>
      </c>
      <c r="G93" s="17" t="s">
        <v>23</v>
      </c>
      <c r="H93" s="15" t="s">
        <v>218</v>
      </c>
    </row>
    <row r="94" customFormat="false" ht="15" hidden="false" customHeight="true" outlineLevel="0" collapsed="false">
      <c r="A94" s="18" t="s">
        <v>219</v>
      </c>
      <c r="B94" s="18"/>
      <c r="C94" s="18"/>
      <c r="D94" s="18"/>
      <c r="E94" s="18"/>
      <c r="F94" s="18"/>
      <c r="G94" s="18"/>
      <c r="H94" s="18"/>
    </row>
    <row r="95" customFormat="false" ht="15" hidden="false" customHeight="true" outlineLevel="0" collapsed="false">
      <c r="A95" s="18"/>
      <c r="B95" s="18"/>
      <c r="C95" s="18"/>
      <c r="D95" s="18"/>
      <c r="E95" s="18"/>
      <c r="F95" s="18"/>
      <c r="G95" s="18"/>
      <c r="H95" s="18"/>
    </row>
    <row r="96" customFormat="false" ht="15" hidden="false" customHeight="true" outlineLevel="0" collapsed="false">
      <c r="A96" s="18"/>
      <c r="B96" s="18"/>
      <c r="C96" s="18"/>
      <c r="D96" s="18"/>
      <c r="E96" s="18"/>
      <c r="F96" s="18"/>
      <c r="G96" s="18"/>
      <c r="H96" s="18"/>
    </row>
    <row r="97" customFormat="false" ht="15" hidden="false" customHeight="true" outlineLevel="0" collapsed="false">
      <c r="A97" s="18"/>
      <c r="B97" s="18"/>
      <c r="C97" s="18"/>
      <c r="D97" s="18"/>
      <c r="E97" s="18"/>
      <c r="F97" s="18"/>
      <c r="G97" s="18"/>
      <c r="H97" s="18"/>
    </row>
    <row r="98" customFormat="false" ht="15" hidden="false" customHeight="true" outlineLevel="0" collapsed="false">
      <c r="A98" s="19" t="s">
        <v>220</v>
      </c>
    </row>
    <row r="99" customFormat="false" ht="15" hidden="false" customHeight="true" outlineLevel="0" collapsed="false">
      <c r="A99" s="8" t="n">
        <v>53</v>
      </c>
      <c r="B99" s="9" t="s">
        <v>221</v>
      </c>
      <c r="C99" s="10" t="s">
        <v>222</v>
      </c>
      <c r="D99" s="11" t="n">
        <v>46175</v>
      </c>
      <c r="E99" s="11" t="n">
        <v>46175</v>
      </c>
      <c r="F99" s="8" t="n">
        <f aca="false">E99-D99+1</f>
        <v>1</v>
      </c>
      <c r="G99" s="12" t="s">
        <v>23</v>
      </c>
      <c r="H99" s="10" t="s">
        <v>223</v>
      </c>
    </row>
    <row r="100" customFormat="false" ht="15" hidden="false" customHeight="true" outlineLevel="0" collapsed="false">
      <c r="A100" s="13" t="n">
        <v>54</v>
      </c>
      <c r="B100" s="14" t="s">
        <v>221</v>
      </c>
      <c r="C100" s="15" t="s">
        <v>224</v>
      </c>
      <c r="D100" s="16" t="n">
        <v>46189</v>
      </c>
      <c r="E100" s="16" t="n">
        <v>46189</v>
      </c>
      <c r="F100" s="13" t="n">
        <f aca="false">E100-D100+1</f>
        <v>1</v>
      </c>
      <c r="G100" s="17" t="s">
        <v>23</v>
      </c>
      <c r="H100" s="15" t="s">
        <v>225</v>
      </c>
    </row>
    <row r="101" customFormat="false" ht="15" hidden="false" customHeight="true" outlineLevel="0" collapsed="false">
      <c r="A101" s="8" t="s">
        <v>226</v>
      </c>
      <c r="B101" s="9" t="s">
        <v>221</v>
      </c>
      <c r="C101" s="10" t="s">
        <v>227</v>
      </c>
      <c r="D101" s="11" t="n">
        <v>46210</v>
      </c>
      <c r="E101" s="11" t="n">
        <v>46210</v>
      </c>
      <c r="F101" s="8" t="n">
        <f aca="false">E101-D101+1</f>
        <v>1</v>
      </c>
      <c r="G101" s="12" t="s">
        <v>23</v>
      </c>
      <c r="H101" s="10" t="s">
        <v>228</v>
      </c>
    </row>
    <row r="102" customFormat="false" ht="15" hidden="false" customHeight="true" outlineLevel="0" collapsed="false">
      <c r="A102" s="8" t="s">
        <v>229</v>
      </c>
      <c r="B102" s="9" t="s">
        <v>221</v>
      </c>
      <c r="C102" s="10" t="s">
        <v>230</v>
      </c>
      <c r="D102" s="11" t="n">
        <v>46218</v>
      </c>
      <c r="E102" s="11" t="n">
        <v>46218</v>
      </c>
      <c r="F102" s="8" t="n">
        <f aca="false">E102-D102+1</f>
        <v>1</v>
      </c>
      <c r="G102" s="12" t="s">
        <v>23</v>
      </c>
      <c r="H102" s="10" t="s">
        <v>231</v>
      </c>
    </row>
    <row r="103" customFormat="false" ht="15" hidden="false" customHeight="false" outlineLevel="0" collapsed="false">
      <c r="A103" s="8" t="s">
        <v>232</v>
      </c>
      <c r="B103" s="9" t="s">
        <v>221</v>
      </c>
      <c r="C103" s="10" t="s">
        <v>233</v>
      </c>
      <c r="D103" s="11" t="n">
        <v>46223</v>
      </c>
      <c r="E103" s="11" t="n">
        <v>46223</v>
      </c>
      <c r="F103" s="8" t="n">
        <f aca="false">E103-D103+1</f>
        <v>1</v>
      </c>
      <c r="G103" s="12" t="s">
        <v>23</v>
      </c>
      <c r="H103" s="10" t="s">
        <v>234</v>
      </c>
    </row>
    <row r="104" customFormat="false" ht="15" hidden="false" customHeight="false" outlineLevel="0" collapsed="false">
      <c r="A104" s="13" t="n">
        <v>55</v>
      </c>
      <c r="B104" s="14" t="s">
        <v>221</v>
      </c>
      <c r="C104" s="15" t="s">
        <v>235</v>
      </c>
      <c r="D104" s="16" t="n">
        <v>46229</v>
      </c>
      <c r="E104" s="16" t="n">
        <v>46229</v>
      </c>
      <c r="F104" s="13" t="n">
        <f aca="false">E104-D104+1</f>
        <v>1</v>
      </c>
      <c r="G104" s="17" t="s">
        <v>23</v>
      </c>
      <c r="H104" s="15" t="s">
        <v>236</v>
      </c>
    </row>
    <row r="105" customFormat="false" ht="15" hidden="false" customHeight="false" outlineLevel="0" collapsed="false">
      <c r="A105" s="8" t="n">
        <v>56</v>
      </c>
      <c r="B105" s="9" t="s">
        <v>221</v>
      </c>
      <c r="C105" s="10" t="s">
        <v>237</v>
      </c>
      <c r="D105" s="11" t="n">
        <v>46237</v>
      </c>
      <c r="E105" s="11" t="n">
        <v>46239</v>
      </c>
      <c r="F105" s="8" t="n">
        <f aca="false">E105-D105+1</f>
        <v>3</v>
      </c>
      <c r="G105" s="12" t="s">
        <v>23</v>
      </c>
      <c r="H105" s="10" t="s">
        <v>238</v>
      </c>
    </row>
    <row r="106" customFormat="false" ht="15" hidden="false" customHeight="false" outlineLevel="0" collapsed="false">
      <c r="A106" s="8" t="s">
        <v>239</v>
      </c>
      <c r="B106" s="9" t="s">
        <v>221</v>
      </c>
      <c r="C106" s="10" t="s">
        <v>240</v>
      </c>
      <c r="D106" s="11" t="n">
        <v>46238</v>
      </c>
      <c r="E106" s="11" t="n">
        <v>46238</v>
      </c>
      <c r="F106" s="8" t="n">
        <f aca="false">E106-D106+1</f>
        <v>1</v>
      </c>
      <c r="G106" s="12" t="s">
        <v>23</v>
      </c>
      <c r="H106" s="10" t="s">
        <v>241</v>
      </c>
    </row>
    <row r="107" customFormat="false" ht="15" hidden="false" customHeight="false" outlineLevel="0" collapsed="false">
      <c r="A107" s="13" t="n">
        <v>57</v>
      </c>
      <c r="B107" s="14" t="s">
        <v>221</v>
      </c>
      <c r="C107" s="15" t="s">
        <v>242</v>
      </c>
      <c r="D107" s="16" t="n">
        <v>46238</v>
      </c>
      <c r="E107" s="16" t="n">
        <v>46238</v>
      </c>
      <c r="F107" s="13" t="n">
        <f aca="false">E107-D107+1</f>
        <v>1</v>
      </c>
      <c r="G107" s="17" t="s">
        <v>243</v>
      </c>
      <c r="H107" s="15" t="s">
        <v>244</v>
      </c>
    </row>
    <row r="108" customFormat="false" ht="15" hidden="false" customHeight="false" outlineLevel="0" collapsed="false">
      <c r="A108" s="8" t="n">
        <v>58</v>
      </c>
      <c r="B108" s="9" t="s">
        <v>221</v>
      </c>
      <c r="C108" s="10" t="s">
        <v>245</v>
      </c>
      <c r="D108" s="11" t="n">
        <v>46240</v>
      </c>
      <c r="E108" s="11" t="n">
        <v>46240</v>
      </c>
      <c r="F108" s="8" t="n">
        <f aca="false">E108-D108+1</f>
        <v>1</v>
      </c>
      <c r="G108" s="12" t="s">
        <v>246</v>
      </c>
      <c r="H108" s="10"/>
    </row>
    <row r="109" customFormat="false" ht="15" hidden="false" customHeight="false" outlineLevel="0" collapsed="false">
      <c r="A109" s="8" t="s">
        <v>247</v>
      </c>
      <c r="B109" s="9" t="s">
        <v>221</v>
      </c>
      <c r="C109" s="10" t="s">
        <v>248</v>
      </c>
      <c r="D109" s="11" t="n">
        <v>46264</v>
      </c>
      <c r="E109" s="11" t="n">
        <v>46264</v>
      </c>
      <c r="F109" s="8" t="n">
        <f aca="false">E109-D109+1</f>
        <v>1</v>
      </c>
      <c r="G109" s="12" t="s">
        <v>243</v>
      </c>
      <c r="H109" s="10" t="s">
        <v>249</v>
      </c>
    </row>
  </sheetData>
  <mergeCells count="14">
    <mergeCell ref="A1:H1"/>
    <mergeCell ref="A2:H2"/>
    <mergeCell ref="A5:H5"/>
    <mergeCell ref="A20:H20"/>
    <mergeCell ref="A30:H30"/>
    <mergeCell ref="A31:H31"/>
    <mergeCell ref="A54:H54"/>
    <mergeCell ref="A55:H55"/>
    <mergeCell ref="A63:H63"/>
    <mergeCell ref="A64:H64"/>
    <mergeCell ref="A94:H94"/>
    <mergeCell ref="A95:H95"/>
    <mergeCell ref="A96:H96"/>
    <mergeCell ref="A97:H9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60"/>
  </cols>
  <sheetData>
    <row r="1" customFormat="false" ht="17.25" hidden="false" customHeight="true" outlineLevel="0" collapsed="false">
      <c r="A1" s="21" t="s">
        <v>250</v>
      </c>
      <c r="B1" s="21"/>
      <c r="C1" s="21"/>
      <c r="D1" s="21"/>
      <c r="E1" s="21"/>
      <c r="F1" s="21"/>
    </row>
    <row r="2" customFormat="false" ht="15" hidden="false" customHeight="true" outlineLevel="0" collapsed="false">
      <c r="A2" s="4" t="s">
        <v>251</v>
      </c>
      <c r="B2" s="4" t="s">
        <v>252</v>
      </c>
      <c r="C2" s="4" t="s">
        <v>253</v>
      </c>
      <c r="D2" s="4" t="s">
        <v>254</v>
      </c>
      <c r="E2" s="4" t="s">
        <v>255</v>
      </c>
      <c r="F2" s="4" t="s">
        <v>256</v>
      </c>
    </row>
    <row r="3" customFormat="false" ht="15" hidden="false" customHeight="true" outlineLevel="0" collapsed="false">
      <c r="A3" s="22" t="s">
        <v>11</v>
      </c>
      <c r="B3" s="22" t="s">
        <v>11</v>
      </c>
      <c r="C3" s="23" t="n">
        <f aca="false">MIN('Project Plan'!D6:D19)</f>
        <v>46127</v>
      </c>
      <c r="D3" s="23" t="n">
        <f aca="false">MAX('Project Plan'!E6:E19)</f>
        <v>46237</v>
      </c>
      <c r="E3" s="24" t="n">
        <f aca="false">D3-C3+1</f>
        <v>111</v>
      </c>
      <c r="F3" s="25" t="s">
        <v>257</v>
      </c>
    </row>
    <row r="4" customFormat="false" ht="15" hidden="false" customHeight="true" outlineLevel="0" collapsed="false">
      <c r="A4" s="22" t="s">
        <v>50</v>
      </c>
      <c r="B4" s="22" t="s">
        <v>50</v>
      </c>
      <c r="C4" s="23" t="n">
        <f aca="false">MIN('Project Plan'!D22:D29)</f>
        <v>46160</v>
      </c>
      <c r="D4" s="23" t="n">
        <f aca="false">MAX('Project Plan'!E22:E29)</f>
        <v>46221</v>
      </c>
      <c r="E4" s="24" t="n">
        <f aca="false">D4-C4+1</f>
        <v>62</v>
      </c>
      <c r="F4" s="25" t="s">
        <v>258</v>
      </c>
    </row>
    <row r="5" customFormat="false" ht="15" hidden="false" customHeight="true" outlineLevel="0" collapsed="false">
      <c r="A5" s="22" t="s">
        <v>70</v>
      </c>
      <c r="B5" s="22" t="s">
        <v>259</v>
      </c>
      <c r="C5" s="23" t="n">
        <f aca="false">MIN('Project Plan'!D33:D53)</f>
        <v>46143</v>
      </c>
      <c r="D5" s="23" t="n">
        <f aca="false">MAX('Project Plan'!E33:E53)</f>
        <v>46239</v>
      </c>
      <c r="E5" s="24" t="n">
        <f aca="false">D5-C5+1</f>
        <v>97</v>
      </c>
      <c r="F5" s="25" t="s">
        <v>260</v>
      </c>
    </row>
    <row r="6" customFormat="false" ht="15" hidden="false" customHeight="true" outlineLevel="0" collapsed="false">
      <c r="A6" s="22" t="s">
        <v>123</v>
      </c>
      <c r="B6" s="22" t="s">
        <v>261</v>
      </c>
      <c r="C6" s="23" t="n">
        <f aca="false">MIN('Project Plan'!D57:D62)</f>
        <v>46193</v>
      </c>
      <c r="D6" s="23" t="n">
        <f aca="false">MAX('Project Plan'!E57:E62)</f>
        <v>46213</v>
      </c>
      <c r="E6" s="24" t="n">
        <f aca="false">D6-C6+1</f>
        <v>21</v>
      </c>
      <c r="F6" s="25" t="s">
        <v>262</v>
      </c>
    </row>
    <row r="7" customFormat="false" ht="15" hidden="false" customHeight="true" outlineLevel="0" collapsed="false">
      <c r="A7" s="22" t="s">
        <v>143</v>
      </c>
      <c r="B7" s="22" t="s">
        <v>263</v>
      </c>
      <c r="C7" s="23" t="n">
        <f aca="false">MIN('Project Plan'!D66:D93)</f>
        <v>46171</v>
      </c>
      <c r="D7" s="23" t="n">
        <f aca="false">MAX('Project Plan'!E66:E93)</f>
        <v>46253</v>
      </c>
      <c r="E7" s="24" t="n">
        <f aca="false">D7-C7+1</f>
        <v>83</v>
      </c>
      <c r="F7" s="25" t="s">
        <v>264</v>
      </c>
    </row>
    <row r="8" customFormat="false" ht="15" hidden="false" customHeight="true" outlineLevel="0" collapsed="false">
      <c r="A8" s="22" t="s">
        <v>221</v>
      </c>
      <c r="B8" s="22" t="s">
        <v>265</v>
      </c>
      <c r="C8" s="23" t="n">
        <f aca="false">MIN('Project Plan'!D99:D109)</f>
        <v>46175</v>
      </c>
      <c r="D8" s="23" t="n">
        <f aca="false">MAX('Project Plan'!E99:E109)</f>
        <v>46264</v>
      </c>
      <c r="E8" s="24" t="n">
        <f aca="false">D8-C8+1</f>
        <v>90</v>
      </c>
      <c r="F8" s="25" t="s">
        <v>266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2026-03-28T09:29:11Z</dcterms:created>
  <dc:creator>openpyxl</dc:creator>
  <dc:description/>
  <dc:language>en-US</dc:language>
  <cp:lastModifiedBy>דייויד קסטיאל</cp:lastModifiedBy>
  <cp:lastPrinted>2026-03-31T05:59:50Z</cp:lastPrinted>
  <dcterms:modified xsi:type="dcterms:W3CDTF">2026-07-22T04:06:16Z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