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Plan" sheetId="1" state="visible" r:id="rId3"/>
    <sheet name="Track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<sst xmlns="http://schemas.openxmlformats.org/spreadsheetml/2006/main" count="558" uniqueCount="343">
  <si>
    <t xml:space="preserve">Odysee — Personal AI Travel Companion · Project Plan</t>
  </si>
  <si>
    <r>
      <rPr>
        <sz val="10"/>
        <color rgb="FF8A8070"/>
        <rFont val="Calibri"/>
        <family val="0"/>
        <charset val="1"/>
      </rPr>
      <t xml:space="preserve">David Castiel · M.Design · HIT | </t>
    </r>
    <r>
      <rPr>
        <sz val="10"/>
        <color rgb="FF8A8070"/>
        <rFont val="Arial Unicode MS"/>
        <family val="2"/>
      </rPr>
      <t xml:space="preserve">ביקורת ג׳ורי </t>
    </r>
    <r>
      <rPr>
        <sz val="10"/>
        <color rgb="FF8A8070"/>
        <rFont val="Calibri"/>
        <family val="0"/>
        <charset val="1"/>
      </rPr>
      <t xml:space="preserve">4.8.2026 · 10:00 · </t>
    </r>
    <r>
      <rPr>
        <sz val="10"/>
        <color rgb="FF8A8070"/>
        <rFont val="Arial Unicode MS"/>
        <family val="2"/>
      </rPr>
      <t xml:space="preserve">חדר </t>
    </r>
    <r>
      <rPr>
        <sz val="10"/>
        <color rgb="FF8A8070"/>
        <rFont val="Calibri"/>
        <family val="0"/>
        <charset val="1"/>
      </rPr>
      <t xml:space="preserve">101/6 (</t>
    </r>
    <r>
      <rPr>
        <sz val="10"/>
        <color rgb="FF8A8070"/>
        <rFont val="Arial Unicode MS"/>
        <family val="2"/>
      </rPr>
      <t xml:space="preserve">בתערוכה</t>
    </r>
    <r>
      <rPr>
        <sz val="10"/>
        <color rgb="FF8A8070"/>
        <rFont val="Calibri"/>
        <family val="0"/>
        <charset val="1"/>
      </rPr>
      <t xml:space="preserve">) · </t>
    </r>
    <r>
      <rPr>
        <sz val="10"/>
        <color rgb="FF8A8070"/>
        <rFont val="Arial Unicode MS"/>
        <family val="2"/>
      </rPr>
      <t xml:space="preserve">תערוכה </t>
    </r>
    <r>
      <rPr>
        <sz val="10"/>
        <color rgb="FF8A8070"/>
        <rFont val="Calibri"/>
        <family val="0"/>
        <charset val="1"/>
      </rPr>
      <t xml:space="preserve">6–19.8.2026 · </t>
    </r>
    <r>
      <rPr>
        <sz val="10"/>
        <color rgb="FF8A8070"/>
        <rFont val="Arial Unicode MS"/>
        <family val="2"/>
      </rPr>
      <t xml:space="preserve">ספר דיגיטלי </t>
    </r>
    <r>
      <rPr>
        <sz val="10"/>
        <color rgb="FF8A8070"/>
        <rFont val="Calibri"/>
        <family val="0"/>
        <charset val="1"/>
      </rPr>
      <t xml:space="preserve">30.8.2026 | </t>
    </r>
    <r>
      <rPr>
        <sz val="10"/>
        <color rgb="FF8A8070"/>
        <rFont val="Arial Unicode MS"/>
        <family val="2"/>
      </rPr>
      <t xml:space="preserve">עודכן </t>
    </r>
    <r>
      <rPr>
        <sz val="10"/>
        <color rgb="FF8A8070"/>
        <rFont val="Calibri"/>
        <family val="0"/>
        <charset val="1"/>
      </rPr>
      <t xml:space="preserve">01.08.2026 — v11</t>
    </r>
  </si>
  <si>
    <t xml:space="preserve">#</t>
  </si>
  <si>
    <t xml:space="preserve">פאזה</t>
  </si>
  <si>
    <t xml:space="preserve">משימה</t>
  </si>
  <si>
    <t xml:space="preserve">תאריך התחלה</t>
  </si>
  <si>
    <t xml:space="preserve">תאריך סיום</t>
  </si>
  <si>
    <t xml:space="preserve">משך (ימים)</t>
  </si>
  <si>
    <t xml:space="preserve">סטטוס</t>
  </si>
  <si>
    <t xml:space="preserve">הערות</t>
  </si>
  <si>
    <t xml:space="preserve">  ספר — Book (freeze 25.7 ✅ · הגשה 4.8)</t>
  </si>
  <si>
    <t xml:space="preserve">ספר</t>
  </si>
  <si>
    <t xml:space="preserve">✅ פרקים 1–6 (טיוטה)</t>
  </si>
  <si>
    <t xml:space="preserve">DOCS</t>
  </si>
  <si>
    <t xml:space="preserve">מבוא·רקע·קונספט·ארכיטקטורה·UX·מערכת עיצוב — טיוטה גמורה</t>
  </si>
  <si>
    <t xml:space="preserve">✅ פרק 8 "הדור הבא" + ביבליוגרפיה (41)</t>
  </si>
  <si>
    <t xml:space="preserve">נכתב ושולב; הדיון הפך לפרק 9</t>
  </si>
  <si>
    <t xml:space="preserve">✅ איורים פרקים 2/4/5 (וקטורי)</t>
  </si>
  <si>
    <t xml:space="preserve">DESIGN</t>
  </si>
  <si>
    <t xml:space="preserve">משפך אמון · מפת 11 סוכנים · journey map · 5 מסכים</t>
  </si>
  <si>
    <t xml:space="preserve">✅ שכתוב פרק 6 ל-Brand V5</t>
  </si>
  <si>
    <t xml:space="preserve">מתעד מותג בן-שני-דורות; יחד עם design-system.html</t>
  </si>
  <si>
    <t xml:space="preserve">✅ אימות ביבליוגרפיה + תיקון רינדור bidi</t>
  </si>
  <si>
    <t xml:space="preserve">KEY</t>
  </si>
  <si>
    <t xml:space="preserve">Phocuswright מאומת 9.6 (March · URL נחיתה · author תאגידי) · 89%=Booking ✓ · נותר: Chile 21.383 · פטנט Apple · Nature MI · +תיקון bidi בביבליוגרפיה — רשומות לטיניות מתבלגנות (סוגריים/אותיות) בכל הרשומות · סיכון בוחן · Phocuswright+89%=Booking מאומתים; נותר Chile/Apple/Nature · 23.7: נסגר (עדכון David — ספר מוכן להדפסה)</t>
  </si>
  <si>
    <t xml:space="preserve">6b</t>
  </si>
  <si>
    <t xml:space="preserve">✅ תיקון bidi ל-citations בגוף (\citep הפוך)</t>
  </si>
  <si>
    <t xml:space="preserve">✅ בקוד (\RenewDocumentCommand+\textenglish) — נותר אימות רנדר על PDF בלבד</t>
  </si>
  <si>
    <t xml:space="preserve">✅ עריכת ניסוחים — כל הפרקים (Word flow)</t>
  </si>
  <si>
    <t xml:space="preserve">CONTENT</t>
  </si>
  <si>
    <t xml:space="preserve">David עורך ב-Word → החלה עדינה על ה-tex · 23.7: נסגר</t>
  </si>
  <si>
    <t xml:space="preserve">✅ פרק 7 (תערוכה)</t>
  </si>
  <si>
    <t xml:space="preserve">חסום ל-spec + מיפוי סוף יוני · 14.7: spec צפוי להיסגר היום — פותחים את הפרק מיד אחריו · 23.7: נסגר</t>
  </si>
  <si>
    <t xml:space="preserve">✅ פרק 9 (דיון)</t>
  </si>
  <si>
    <t xml:space="preserve">subsection קונסולידציה/מיקום (companion≠oracle) נוסף ואומת מול הדו״ח 9.6 (64/81/68 תוקנו: קטגוריה מול ChatGPT) · יתר הפרק לקראת הסוף · 23.7: נסגר</t>
  </si>
  <si>
    <t xml:space="preserve">✅ Abstract אנגלית + עברית</t>
  </si>
  <si>
    <t xml:space="preserve">לפי תקנון HIT · 23.7: נסגר</t>
  </si>
  <si>
    <t xml:space="preserve">10b</t>
  </si>
  <si>
    <t xml:space="preserve">✅ איורים לספר — סבב השלמה (כולל פיגורת לוגו + משפט-יישוב פ׳8)</t>
  </si>
  <si>
    <t xml:space="preserve">הפריט הפתוח הגדול בספר — כמעט אין איורים · מיזוג משימה 5 · 23.7: הושלם (עדכון David)</t>
  </si>
  <si>
    <t xml:space="preserve">✅ הקפאת תוכן + הגהה + בנייה סופית</t>
  </si>
  <si>
    <t xml:space="preserve">נסגר 25.7: 22 תיקוני הגהה על 9 פרקים · גלוסות (לוקוס/1536/prior) · פרק 7 מידות סופיות (live 32״ · הדמיות 40״ · קיר קאפה 3.6 · שטח עמדה 3.6) · אפס em-dash בפרוזה · build נקי · נדחף origin/main @ 253e4c3. ⚠️ main.tex פריז — אין לגעת.</t>
  </si>
  <si>
    <t xml:space="preserve">11b</t>
  </si>
  <si>
    <t xml:space="preserve">הדפסת ספר A4 כריכה רכה — אופציונלי</t>
  </si>
  <si>
    <t xml:space="preserve">PRINT</t>
  </si>
  <si>
    <t xml:space="preserve">לא חובה — ההגשה הרשמית דיגיטלית עד 30.8. ⚠️ ההערה הקודמת הפנתה ל-Lupa (11c) שבוטלה; עותק התצוגה עבר ל-11d (בית דפוס). אם מדפיסים A4 רך: אחרי התערוכה, ללא לחץ.</t>
  </si>
  <si>
    <t xml:space="preserve">11c</t>
  </si>
  <si>
    <t xml:space="preserve">❌ עותק תצוגה Lupa — בוטל 25.7</t>
  </si>
  <si>
    <t xml:space="preserve">בוטל 25.7: לופה כופה מסגרת עבה בכל עמוד. ✅ העבודה לא לחינם — main-lupa.tex + chapters/Z-guestbook.tex (ספר אורחים, 10 עמודים) קומיט 7b42365 והם בדיוק מה שנמסר לבית הדפוס. תחליף: 11d.</t>
  </si>
  <si>
    <t xml:space="preserve">11d</t>
  </si>
  <si>
    <t xml:space="preserve">✅ עותק תצוגה — Top Album (במקום Lupa)</t>
  </si>
  <si>
    <t xml:space="preserve">⚠️ הפריט עם זמן האספקה הארוך ביותר והשליטה הנמוכה ביותר. ספקים: סדר צלם (ת״א) — המלצה ראשית, מעותק אחד, "התאמה מלאה לקבצי הדפסה", סניף פיזי · לייזר מכון העתקות — תמחור מקביל · עותקים / דפוס אופק (חיפה) — גיבוי. זמן: 3–5 ימי עבודה + 1–3 משלוח ⇒ מסירה 27.7 נוחתת 2–3.8, יום באפר אחד לפני הג׳ורי. ארבע שאלות לשיחה: (1) פתיחה שטוחה — תפירה/PUR (2) קובץ כריכה נפרד + חישוב שדרה (3) אפס שוליים כפויים (4) "בידיים עד 4.8". ✅ החלטה: השער האנגלי עובר לכריכה האחורית (קונבנציה אקדמית ישראלית) ⇒ הפְּנים יוצא 110 עמודים — זוגי, בלי עמוד מלית מלאכותי. · ✅ 30.7 נסגר: הספק אינו אחד משלושת בתי הדפוס שנבדקו אלא Top Album — כריכה קשה 21×29 ס״מ, 50% הנחה. הספר הודפס, שליח בדרך, צפי הגעה ראשון 2.8. סדר צלם / לייזר / עופק לא נבחרו. ⚠️ שם הפריט משמר את ההיסטוריה; הספק בפועל הוא Top Album.</t>
  </si>
  <si>
    <t xml:space="preserve">11e</t>
  </si>
  <si>
    <t xml:space="preserve">✅ קובץ כריכה — פרוס שטוח (אחורית+שדרה+קדמית)</t>
  </si>
  <si>
    <t xml:space="preserve">⚠️ תוצר חדש שלא היה קיים — לופה סיפקה מערכת כריכה משלה. ⚠️ חסום: רוחב השדרה מגיע מבית הדפוס ותלוי במספר העמודים ובנייר, ולכן אי אפשר לבנות לפני השיחה (11d). כולל בליד. השער האנגלי יושב על הכריכה האחורית. · ✅ נסגר: ta-backcover-21x29.png + top-album-build.md בקומיט תחת print/. רוחב השדרה נקבע מול Top Album. השער האנגלי על הכריכה האחורית כמתוכנן.</t>
  </si>
  <si>
    <t xml:space="preserve">11f</t>
  </si>
  <si>
    <t xml:space="preserve">בליד לספר — הגדלת MediaBox בלבד</t>
  </si>
  <si>
    <t xml:space="preserve">DEV</t>
  </si>
  <si>
    <t xml:space="preserve">⚠️ אין לגעת ב-LaTeX. שינוי geometry מזיז מעברי עמוד ומספרי TOC ומחייב מעבר-עין מחדש על 110 עמודים. מכיוון שהרקע הוא \pagecolor שטוח, מגדילים את ה-MediaBox של ה-PDF המוכן וממלאים אייבורי — אפס זרימה מחדש. ⚠️ אייבורי: odysee.sty מגדיר odyseeIvory = Sand50 #FAF6F0 אבל מפרט המותג הוא #F6F4EF — להשתמש בשם ייעודי ולא לדרוס את הטוקן.</t>
  </si>
  <si>
    <t xml:space="preserve">11g</t>
  </si>
  <si>
    <t xml:space="preserve">סעיף הפיילוט לפרק הדיון — גרסה דיגיטלית</t>
  </si>
  <si>
    <t xml:space="preserve">⚠️ grep על הפרקים: "פיילוט" 0 · "מבחן" 0 · "21.7" 0 · "בודק" 0 ב-07-exhibition וב-08-discussion. שישה משתמשים, לוג מתוזמן, פרוטוקול v2 וממצאים ששינו החלטת ארכיטקטורה — אף אחד מהם לא בתזה. ✅ החלטת David: לא לגעת בגרסה שהולכת לדפוס (4.8); להוסיף בגרסה הדיגיטלית עד 30.8 — וזו הגרסה הנבחנת.</t>
  </si>
  <si>
    <t xml:space="preserve">  אתר — Site (rebrand-v5 → main)</t>
  </si>
  <si>
    <t xml:space="preserve">אתר</t>
  </si>
  <si>
    <t xml:space="preserve">✅ מיגרציה Brand v1.0 + IA + next-generation</t>
  </si>
  <si>
    <t xml:space="preserve">5 עמודים + book/exhibition Coming Soon</t>
  </si>
  <si>
    <t xml:space="preserve">✅ rebrand V5: 8 לוגואים→פנים + צבעים</t>
  </si>
  <si>
    <t xml:space="preserve">ענף rebrand-v5</t>
  </si>
  <si>
    <t xml:space="preserve">✅ שכתוב design-system.html + hero-mark→פנים</t>
  </si>
  <si>
    <t xml:space="preserve">יחד עם פרק 6 בספר</t>
  </si>
  <si>
    <t xml:space="preserve">✅ תיקון agents.html ל-4 סוכנים חיים</t>
  </si>
  <si>
    <t xml:space="preserve">FIX</t>
  </si>
  <si>
    <t xml:space="preserve">סתירה ספר↔אתר (AGT-04 עדיין קונספטואלי באתר)</t>
  </si>
  <si>
    <t xml:space="preserve">Plus Jakarta Sans (גוף) + favicon.svg</t>
  </si>
  <si>
    <t xml:space="preserve">עברית נשארת Heebo</t>
  </si>
  <si>
    <t xml:space="preserve">איחוד .brand-mark*+טוקנים לקובץ משותף</t>
  </si>
  <si>
    <t xml:space="preserve">חוב טכני — לפני שינויי מותג נוספים</t>
  </si>
  <si>
    <t xml:space="preserve">exhibition.html</t>
  </si>
  <si>
    <t xml:space="preserve">חסום ל-spec של HIT (הגיע). ⚠️ 24.7: exhibition.html עדיין מחזיק 3.5 מ׳ ו-24″ — סותר את פרק 7 המעודכן (3.6 · 32″ · 40״). לעדכן במסגרת 20b.</t>
  </si>
  <si>
    <t xml:space="preserve">QA light/dark/mobile/RTL + OG image</t>
  </si>
  <si>
    <t xml:space="preserve">QA</t>
  </si>
  <si>
    <t xml:space="preserve">20b</t>
  </si>
  <si>
    <t xml:space="preserve">✅ מעבר עקביות ספר↔אתר לפני עלייה לאוויר</t>
  </si>
  <si>
    <t xml:space="preserve">הספר עבר ניקוי מעמיק (לקסיקון 19.7 + פרק 7 + הגהת 25.7) — האתר האנגלי טרם עודכן. לעבור על כל הדפים מול הספר לפני merge ל-main: (1) הלקסיקון החדש — companion-not-oracle, אפס "חישה"/"רגש" בחומרים פומביים · (2) 4 המיושמים AGT-01/02/04/06 מול נספח א.2 · (3) exhibition.html מול פרק 7 — 3.6 מ׳ ו-32״/40″ (כרגע 3.5 ו-24″) · (4) AGT-09 "(נקודות ומיילים)" — ⚠️ החלטת יעל לפוסטר, לא טעות, אין "לתקן" חזרה · (5) Tico/Odysee לטינית תמיד. ספר עברית ↔ אתר אנגלית = בדיקה סמנטית. חייב להסתיים לפני הג׳ורי 4.8. · ✅ נסגר 29.7 בערב — קומיט 451cd08, שלושה קבצים, 14 עוגנים. היה שכתוב ולא מעבר: agents.html הציג ספקים בדיוניים תחת ✓Implemented (GPT-4o · Pinecone · OpenAI · Foursquare · HERE · DeepL · Whisper) — אותה טעות שנתפסה בפוסטר ב-24.7 ולא הוצלבה לאתר. exhibition.html תיאר תערוכה אחרת (65″ board · 24″ · כפתור אחד · iMac · 100×70) ונכתב מחדש מול החדר. _template.html:27 החזיק "Personal AI Travel Concierge" — הפרה בתבנית, כלומר מתפשטת לכל דף חדש.</t>
  </si>
  <si>
    <t xml:space="preserve">  אפליקציה + דמו — App &amp; Demo  ◀ נתיב קריטי</t>
  </si>
  <si>
    <t xml:space="preserve">אפליקציה</t>
  </si>
  <si>
    <t xml:space="preserve">✅ pipeline עובד (STT→agents→TTS)</t>
  </si>
  <si>
    <t xml:space="preserve">רץ יחסית טוב</t>
  </si>
  <si>
    <t xml:space="preserve">✅ 4 סוכנים עובדים בעיקרון (01/02/04/06)</t>
  </si>
  <si>
    <t xml:space="preserve">IMPL</t>
  </si>
  <si>
    <t xml:space="preserve">✅ tico-orb כפנים (idle/listen/think/speak)</t>
  </si>
  <si>
    <t xml:space="preserve">state machine + Web Audio</t>
  </si>
  <si>
    <t xml:space="preserve">עיצוב + ליטוש UI של הדמו</t>
  </si>
  <si>
    <t xml:space="preserve">"חסר לא מעט" — לב הנתיב הקריטי · 7.7: הצצה-משמאל (fix-4) אושרה ע"י חנן · 21.7: פתרון הלטנסי עבר לאודיו גישור (36c) · 24.7: 36c נפרס. ⚠️ 24.7 ערב — חקירת הלטנסי נסגרה: אין רכיב דומיננטי (rec→trans 1655ms · trans→firstTok 2145ms · gen→sentence 1327ms · tts-ttfb 1612ms · TOTAL 7375ms חציוני). הליבר היחיד הוא מספר הסבבים וגודל המטען; איחוד סבבים נדחה לאחרי התערוכה. הפעולה היחידה לפני 6.8 = הגבלת מטען (36j).</t>
  </si>
  <si>
    <t xml:space="preserve">✅ חיבור tico-orb ל-TTS envelope + VAD</t>
  </si>
  <si>
    <t xml:space="preserve">פה לפי אמפליטודה; מעברי-מצב · מסומן סגור 14.7 (~90%) — אימות סופי במסגרת QA (35)</t>
  </si>
  <si>
    <t xml:space="preserve">✅ AGT-06 אימות מקצה-לקצה</t>
  </si>
  <si>
    <t xml:space="preserve">frontend לא אומת בזרימה מלאה · אומת שוב ושוב בריצות e2e מלאות מאז יוני</t>
  </si>
  <si>
    <t xml:space="preserve">✅ מודל PTT (tap+VAD) + טריגר כפתור פיזי (Pico HID→F13)</t>
  </si>
  <si>
    <t xml:space="preserve">ליבה אומתה e2e 14.6: החלטה tap-to-open + VAD סוגר (לא hold). arcade button → Pico 2W (CircuitPython 10.2.1) → HID keystroke F13 → keydown ב-app.js (bindDisplayHotkeys, ענף else-if) → send(start_listening). אומת עם jumper GP21↔GND; Tico עבר ל-listening. רכיבים הוזמנו מ-Ali (~שבועיים): כפתור 30mm 5V clear ×10 · amber LED 5V prewired · טרנזיסטורים · נגדים · breadboard · jumpers. נותר: הרכבת כפתור כשמגיע · שכבת LED מונעת-מצב (GP16+טרנזיסטור, קוד מוכן) · commit app.js. אותו דפוס keystroke→WS פותח גם טריגר פיזי ל-takeaway (משימה 32). · 7.7: הוחלט כפתור פיזי שני 🎫 ל-takeaway על אותו Pico (GPIO פנוי → F14). 6 כפתורים הגיעו — 2 לפלינת, השאר רזרבה. מארז: הלחמה+hot-glue (לא breadboard), step drill, מדידת קוטר לפני קידוח</t>
  </si>
  <si>
    <t xml:space="preserve">demo-mode לנפילת רשת (fallback ל-6 APIs)</t>
  </si>
  <si>
    <t xml:space="preserve">המודם עובד (7.7) · היקף ריאלי: graceful degradation — זיהוי ניתוק, הודעת מסך ידידותית, התאוששות אוטומטית · בדיקות: ניתוק מודם ב-idle / באמצע שיחה / באמצע takeaway</t>
  </si>
  <si>
    <t xml:space="preserve">attract-loop + תוכן שיחה לקהל</t>
  </si>
  <si>
    <t xml:space="preserve">edge cases · תשובות ל-100–200 מבקרים</t>
  </si>
  <si>
    <t xml:space="preserve">✅ שליחת מסלול שנבנה למבקר (QR → PDF)</t>
  </si>
  <si>
    <t xml:space="preserve">שכבת must-have הושלמה ואומתה e2e (generate_takeaway→R2→QR→PDF). email נהרג (PII). נותר: trigger דרך Stream Deck + commit · 7.7: QL-800 צעדים 1-4 הושלמו — usb מאומת, brother_ql, QR 25מ"מ נסרק עם URL מלא של R2. תווית הוחלטה 29×29 מגליל רציף DK-22210 (לרכוש; יש sample). נותר צעד 5: חיווט ב-tico_server (~2172/2180) מאחורי feature-flag</t>
  </si>
  <si>
    <t xml:space="preserve">32b</t>
  </si>
  <si>
    <t xml:space="preserve">✅ הדפסת תווית QL-800 + QR פיזי</t>
  </si>
  <si>
    <t xml:space="preserve">מנדטורי · קוד מאפס (אין כיום) · המצע = כרטיס boarding pass (47b)</t>
  </si>
  <si>
    <t xml:space="preserve">✅ אסטרטגיית תקציב TTS (שדרוג מ-NO_TTS)</t>
  </si>
  <si>
    <t xml:space="preserve">✅ eleven_v3 בפרודקשן · נותר: התראת מכסה — הועבר להערת ה-soak</t>
  </si>
  <si>
    <t xml:space="preserve">QA אינטגרציה מלאה (כל הסוכנים e2e)</t>
  </si>
  <si>
    <t xml:space="preserve">✅ 3 מבחני קבלה עברו 21.7 (F14 empty · race לא קיים על 4db530f · takeaway מלא QR+מדבקה). באגים פתוחים: F14 משאיר עמדה תקועה (36i — החמור ביותר) · geocoding בורח מהיעד (36d) · רינדור takeaway ~109ש' (36e) · קוביות מפה client-side (36f) · נעילת שפת-תגובה · STT clamp: תמלול זבל שהגיע למודל (24.7, על AirPods) — סיכון תפעולי לרשום.</t>
  </si>
  <si>
    <t xml:space="preserve">✅ pilot עם משתמשים אמיתיים</t>
  </si>
  <si>
    <t xml:space="preserve">בוצע 21.7 — 6 בודקים (רינה/סמי/מאיר/גיא/ליאת/רחל) על Elgato Wave Neo. 'עבד מעולה רוב הזמן'. לוג מתוזמן נשמר (tico-session-2026-07-21.log). ממצאים→שורות: אודיו-גישור ללטנסי (36c) · 3 באגים (36d/e/f) · ES/FR spike (36g) · backlog משוב (36h). שבת 25.7: 3 בודקים עם Jabra להכרעת מיקרופון (42b).</t>
  </si>
  <si>
    <t xml:space="preserve">36b</t>
  </si>
  <si>
    <t xml:space="preserve">Mac mini deploy: launchd · kiosk · VNC · STT-lock</t>
  </si>
  <si>
    <t xml:space="preserve">אומת במיקום 21.7: boot-to-kiosk, שרת חי, 3 מבחני קבלה, pilot רץ עליו. ✅ נסגרו מאז: שומר מסך (idleTime 0) · PYTHONUNBUFFERED דרך -u ב-ProgramArguments (גיבוי plist.bak-20260724-165153) · נעילת פלט אודיו ל-Jabra לפי שם, commit cac2c00 (ODYSEE_OUT_DEVICE = רשימה מופרדת בפסיקים). ⚠️ נותר: להוסיף את שם דגם אוזניית הגיבוי לרשימה — אחרת הקול יוצא מרמקולי המכונה (סימן בלוג: no device matching 'Jabra' → [system default]) · נוהל "מיקרופון לפני boot" · control.html לא נגיש · הקשחות (cache-buster/שומר-פוקוס/boot.py).</t>
  </si>
  <si>
    <t xml:space="preserve">36c</t>
  </si>
  <si>
    <t xml:space="preserve">✅ אודיו גישור מוקלט מראש — פתרון לטנסי ראשי</t>
  </si>
  <si>
    <t xml:space="preserve">נסגר ונפרס 24.7. v1 (לפי סבב כלים) נכשל — סבבים מגיעים בשרשרת בלי פרוזה, תור אחד ייצר 3 קליפים רצופים. v2 עובד: ההחלטה ב-player_worker, הכלל הוא שקט מצטבר ולא ספירת סבבים — BRIDGE_AFTER_S=3.5 · BRIDGE_REPEAT_S=6.0 · BRIDGE_POLL_S=0.5. ערימה בלתי אפשרית מבנית. commits 3b2e8d3 (קליפים) + 64e5c56 (לוגיקה), נמשכו ל-M4. .gitignore: *.wav הוחרג ל-voice-pipeline/assets/bridge/ — בלעדיו pull היה מביא קוד בלי קליפים. ⚠️ הגישור הוא תחבושת: בתור בן 22ש' נשמעים 3 קליפים באותה המתנה.</t>
  </si>
  <si>
    <t xml:space="preserve">36d</t>
  </si>
  <si>
    <t xml:space="preserve">🐞 באג: geocoding בורח מהיעד</t>
  </si>
  <si>
    <t xml:space="preserve">⚠️ 24.7: זו בעיית דיוק, לא לטנסי — geocode x6 (parallel) = 628-1035ms בכל המדידות. "שוק העיר" (מרוקו) קיבל קואורדינטות אבו דאבי (24.4895, 54.3567): שאילתה גנרית → geocode גלובלי בלי עיגון. תיקון: locationbias סביב dest_lat/lng + פילטר מרחק. ⚠️ חוסם 3 מתוך 4 פריטי הטריאז' (מפה בסיכום · קישור GMaps · המפה ב-PDF) וחשוד כשורש 36f. עדיין לא התחיל.</t>
  </si>
  <si>
    <t xml:space="preserve">36e</t>
  </si>
  <si>
    <t xml:space="preserve">🐞 באג: רינדור takeaway איטי (~109ש')</t>
  </si>
  <si>
    <t xml:space="preserve">1.8: reverse_geocoder הרצה ראשונה נצרבה על שתי המכונות (MBP 131ש, M4 כבר צרוב) — הסיכון החד-פעמי מעל רשת ה-150ש ירד. נותר: הרינדור עצמו. אחרי 6.8</t>
  </si>
  <si>
    <t xml:space="preserve">36f</t>
  </si>
  <si>
    <t xml:space="preserve">🐞 באג: טעינת מפה בקוביות (2/6 בודקים)</t>
  </si>
  <si>
    <t xml:space="preserve">tiles נטענים לאט ובהדרגה. צד-לקוח בלבד — לא מופיע ב-tico-server.log (הדפדפן מושך tiles ישירות). חשודים: (א) רוחב פס במיקום; (ב) קשור ל-geocoding (נקודת אבו דאבי מותחת fitBounds על ~6000ק"מ → זום קיצוני → מבול tiles); (ג) re-fit אחרי כל מנת נקודות. צעדים: לתקן geocoding ולבדוק שוב · מבחן טעינת מפה על רשת HIT לצ'קליסט ההקמה · אופציה עתידית: fitBounds אחד בסוף (app.js, לא לפני שבת).</t>
  </si>
  <si>
    <t xml:space="preserve">36g</t>
  </si>
  <si>
    <t xml:space="preserve">שיחה ב-ES/FR — spike היתכנות (nice-to-have)</t>
  </si>
  <si>
    <t xml:space="preserve">בקשת בודקים 21.7: לשוחח עם Tico בספרדית ובצרפתית. spike היתכנות: STT (זיהוי/נעילת שפה) · LLM · קול TTS ל-ES/FR · נעילת שפת-תגובה. nice-to-have — רק אם יישאר זמן לפני 6.8, לא חוסם את הנתיב הקריטי. אם לא — לפרק 'הדור הבא' בספר.</t>
  </si>
  <si>
    <t xml:space="preserve">36h</t>
  </si>
  <si>
    <t xml:space="preserve">✅ backlog משוב בודקים 21.7 — מזכרת מותאמת</t>
  </si>
  <si>
    <t xml:space="preserve">DONE</t>
  </si>
  <si>
    <t xml:space="preserve">הממצא המרכזי (4 מתוך 6 בפיילוט ביקשו PDF מותאם). הסיבה: profile כבר היה ב-payload של _generate_copy אבל הפרומפט לא הזכיר אותו. תוקן ב-d9c38d1, 11 שורות פרומפט, ללא שינוי חתימה. אומת ב-2 סבבים (MBP+M4): "כניסה חופשית לילדים עד 6", "מעלית בכל הקומות", "שטח מישורי עם עגלות", 3 מסעדות טבעוניות עם רחובות. עלות בלחיצה: אפס (רץ ב-warm path)</t>
  </si>
  <si>
    <t xml:space="preserve">36i</t>
  </si>
  <si>
    <t xml:space="preserve">🐞 באג: F14 משאיר את העמדה תקועה</t>
  </si>
  <si>
    <t xml:space="preserve">אובחן 26.7: לא תקיעה. asyncio.create_task לא חוסם, conv.lock לא מוחזק. השורש היה takeaway_started בלי מטפל (36l) — נסגר. נותר: אין חזרה אוטומטית ל-idle אחרי takeaway (F16 חובה בין מבקרים; אומת בקוד 1.8 — hideTakeawayQr מסיר רק את שכבת ה-QR אחרי 60ש)</t>
  </si>
  <si>
    <t xml:space="preserve">36j</t>
  </si>
  <si>
    <t xml:space="preserve">✅ הגבלת מטען הדיבור — "עד 3 ימים, השאר בהדפסה"</t>
  </si>
  <si>
    <t xml:space="preserve">⚠️ הפעולה היחידה על ליבר הלטנסי שאפשרית לפני 6.8. 24.7 קבע שהליבר הוא מספר הסבבים וגודל המטען, ואיחוד סבבים נדחה לאחרי התערוכה — הגבלת מטען היא שינוי system_prompt בלבד, אפס סיכון ארכיטקטוני. הטריגר: מסלול 21 יום הוקרא במלואו בעוד התור ממתין. גם על-פי התזה: ה-takeaway הוא מקום השלמות, הדיבור הוא מקום המפגש — מלווה לא נואם עשרים דקות. ⚠️ הניסוח חיובי ולא התנצלות: מה שנאמר הוא הטעימה, מה שמודפס הוא המלא. · ✅ נסגר 29.7, קומיט df3caa2 — v5, אחרי ארבע גרסאות שהופרכו במדידה. v5: ימים 1–3 במלואם בשלוש תחנות ליום, מיום 4 כל השאר בקריאת add_itinerary_points אחת. 3 ימים 55.1s · out=1655 · 7 ימים 63.8s (בסיס 96.3s). ⚠️ מסלול 14 יום לא נמדד — 33 תחנות בסבב אחד מתקרבות ל-max_tokens. אין לכתוב ש-36j פותר מסלולים ארוכים.</t>
  </si>
  <si>
    <t xml:space="preserve">36k</t>
  </si>
  <si>
    <t xml:space="preserve">✅ מסך הבית — צבעי כפתורים + נוסח</t>
  </si>
  <si>
    <t xml:space="preserve">✅ החלטת David: מיקרופון → כתום, QR → כחול. המסך משקף את הכפתורים הפיזיים, המבקר מקשר מסך לחומרה בלי הסבר. ⚠️ איזה כחול — Navy 700 #1D3D60 או Navy 500 #3A5D83. אין להמציא כחול מחוץ לטוקנים; להכריע מול צילום ה-LED הפיזי. ⚠️ Tico Orange #E5763C כמילוי בלבד — על רקע בהיר נכשל AA Large (2.79:1); טקסט כתום = Orange 700 #C75D29. נוסח: "לחיצה קצרה" → "לחיצה רגעית" ("קצרה" מזמין את השאלה "כמה קצרה"). · ✅ 30.7 הוכרע: הכחול הוא Navy 300 #8499B3, לא 700 ולא 500. השורה הציעה שתי אפשרויות ושתיהן שגויות — מסך הבית כהה (navy-900 #12273E) ו-Navy 700 #1D3D60 עליו הוא 1.2:1, כלומר צ׳יפ בלתי נראה. Navy 300 הוא הטוקן היחיד שקורא ככחול מול הכתום במבט אחד, וזו גם הבחירה שהפאץ׳ שנסוג ב-26.7 כבר עשה — אין כאן קנון חדש.</t>
  </si>
  <si>
    <t xml:space="preserve">35b</t>
  </si>
  <si>
    <t xml:space="preserve">מבחן idle ארוך ואז תור חי — תרחיש 4.8</t>
  </si>
  <si>
    <t xml:space="preserve">⚠️ שורה חדשה 30.7 — תרחיש שמעולם לא נבדק. ב-4.8 המערכת מתחממת ב-07:30 ומקבלת תור אמיתי ב-10:05: שעתיים וחצי idle ואז שיחה, מול הצוות שנותן 75% מהציון. חשודים: WebSocket שנופל בשקט, טוקן ElevenLabs שפג, חיבור Jabra שנודד. המבחן: העמדה עולה, שיחה אחת, המתנה 150 דקות בלי נגיעה, ואז F13 → האם התור נסגר, האם TTS יוצא, האם הפנים מגיבות. נכנס לסואק של ראשון-שני כמבחן מוגדר ולא כתקווה. ⚠️ חוסם את 52i.</t>
  </si>
  <si>
    <t xml:space="preserve">36l</t>
  </si>
  <si>
    <t xml:space="preserve">✅ באג: takeaway_started בלי מטפל בצד הלקוח</t>
  </si>
  <si>
    <t xml:space="preserve">נסגר ב-c5a1d7d. אומת חזותית 31.7: tico_server:2823 → handleTakeawayPending → body[data-takeaway=visible] → שכבה מציירת → QR. מסלול השגיאה ("עוד אין מסלול לשמור", ~6ש) אומת גם הוא. 1.8: git log -S הכריע, git status נקי לא יכול היה</t>
  </si>
  <si>
    <t xml:space="preserve">36m</t>
  </si>
  <si>
    <t xml:space="preserve">❄️ צ׳יפי אפורדנס — הוקפא לטובת שילוט פיזי</t>
  </si>
  <si>
    <t xml:space="preserve">⚠️ שורה חדשה 30.7 — הפריט פתוח מ-26.7 ולא היה לו פריט בתוכנית. בלוק .od-affordance עם שני צ׳יפים מעוגן אריתמטית לכפתורים הפיזיים דרך --od-screen-w-mm: 398 (טרם נמדד). הפאץ׳ הוחל ונסוג — DOM נכון ואפס צביעה; השערה שלא נבדקה: ריבוי חלונות דפדפן. ❄️ הוקפא 30.7: החלופה (52j, שילוט) עולה ~20 דקות ונחשבת לעיצוב תערוכה שנמדד, בעוד באג צביעה אינו נמדד. ⚠️ קנוני: display / opacity / visibility / checkVisibility נכונים אינם מוכיחים שאלמנט נצבע — המבחן היחיד הוא צבע בולט, עין, ו-DevTools סגור.</t>
  </si>
  <si>
    <t xml:space="preserve">  סרט Hero — Hero Video  ◀ lead-time</t>
  </si>
  <si>
    <t xml:space="preserve">H1</t>
  </si>
  <si>
    <t xml:space="preserve">סרט</t>
  </si>
  <si>
    <t xml:space="preserve">✅ סטילס+הנפשה P1–P10</t>
  </si>
  <si>
    <t xml:space="preserve">משפחת-בית P1–P5 + רחוב/חשיפה P6–P10 · אנטי-דריפט מוכח · מנוע=Grok (Veo גיבוי)</t>
  </si>
  <si>
    <t xml:space="preserve">H2</t>
  </si>
  <si>
    <t xml:space="preserve">סטילס חסרים P11/P13/P14/P8b/P9b</t>
  </si>
  <si>
    <t xml:space="preserve">פרומפטים מוכנים ב-storyboard-v2</t>
  </si>
  <si>
    <t xml:space="preserve">H3</t>
  </si>
  <si>
    <t xml:space="preserve">P12 = זיכרון-אור (החלטת David)</t>
  </si>
  <si>
    <t xml:space="preserve">לא iPad (קו-אדום: מסך=עֵד, לא נהג) · ממתין לאישור חנן 7.7</t>
  </si>
  <si>
    <t xml:space="preserve">H4</t>
  </si>
  <si>
    <t xml:space="preserve">✅ composite הסימן הווקטורי בכל שוט (Motion/AE)</t>
  </si>
  <si>
    <t xml:space="preserve">⚠️ סטטוס בהסקה — לאימות David. הראיה: המאסטר odysee1_-_HD.m4v נוצר 16.7 והוא הסרט הסופי שפרוס ומאומת על ה-i7.</t>
  </si>
  <si>
    <t xml:space="preserve">H5</t>
  </si>
  <si>
    <t xml:space="preserve">✅ HD re-export P6–P10 + נרמול AR ל-16:9</t>
  </si>
  <si>
    <t xml:space="preserve">המאסטר: ~/Downloads/odysee1_-_HD.m4v — 63.13 שניות (1:03) · 1920×1080 · 24fps · 9.7 Mbps · 78MB · נוצר 16.7 · מגובה ל-iCloud + Time Machine. ⚠️ "ODYSEE-FINAL" באורך 1:24 אינה קיימת ואינה רלוונטית — השאלה נסגרה 25.7. FCP לא מייצא mp4 בלי Compressor (Apple Devices → m4v, Export File → mov); ה-remux דרך ffmpeg הוא הפתרון הנכון וגם זורק זרם mjpeg של עטיפה.</t>
  </si>
  <si>
    <t xml:space="preserve">H6</t>
  </si>
  <si>
    <t xml:space="preserve">✅ מוזיקה/פס-קול + מיקס VO</t>
  </si>
  <si>
    <t xml:space="preserve">⚠️ סטטוס בהסקה — לאימות David. הראיה: הסרט על ה-i7 אינו muted ויש לו פסקול (אומת 25.7 מול הקובץ הקנוני).</t>
  </si>
  <si>
    <t xml:space="preserve">H7</t>
  </si>
  <si>
    <t xml:space="preserve">✅ נרמול אודיו + פריסה ל-i7</t>
  </si>
  <si>
    <t xml:space="preserve">נסגר 25.7. הממצא: intro.mp4 ב--27.2 LUFS מול הסרט ב--16.5 — פער 10.7 LU בלולאה אחת עם מגבר אחד ובלי ידית עוצמה למבקר. הסרט גם חתך ב-+1.3 dBFS. התיקון: ffmpeg -c:v copy (אפס דור נוסף) + loudnorm=I=-18:TP=-1.5:LRA=11 -ar 48000. ל-intro נוסף pan=stereo לפני ה-loudnorm — הוא היה מונו, וקובץ מונו שנמדד -18 נשמע -15 כשהנגן מכפיל אותו. תוצאה: -18.4 מול -17.7 LUFS = פער 0.7 LU, מבחן אוזן עבר. commit 388b573. ⚠️ מי שמחליף אחד מהקבצים חייב לנרמל באותם פרמטרים בדיוק, אחרת הפער חוזר. ⚠️ display/media/hero.mp4 מוזנח מגיט (78MB) — פריסה ל-i7 היא תמיד העתקה ידנית.</t>
  </si>
  <si>
    <t xml:space="preserve">H8</t>
  </si>
  <si>
    <t xml:space="preserve">  תערוכה / לוגיסטיקה — Exhibition</t>
  </si>
  <si>
    <t xml:space="preserve">תערוכה</t>
  </si>
  <si>
    <t xml:space="preserve">✅ החלטות חלל/מיצב</t>
  </si>
  <si>
    <t xml:space="preserve">מסך אחד · handset+PTT · Stream Deck Neo</t>
  </si>
  <si>
    <t xml:space="preserve">קבלת spec מ-HIT</t>
  </si>
  <si>
    <t xml:space="preserve">היה ל-26.5, מאחר — חוסם פרק 7/מיפוי/חשמל · 14.7: צפוי להיסגר היום</t>
  </si>
  <si>
    <t xml:space="preserve">✅ קביעת דגם Mac mini + גודל מסך</t>
  </si>
  <si>
    <t xml:space="preserve">HW</t>
  </si>
  <si>
    <t xml:space="preserve">לחישוב חשמל מדויק</t>
  </si>
  <si>
    <t xml:space="preserve">41b</t>
  </si>
  <si>
    <t xml:space="preserve">❄️ החלפת מסכים — הוקפא: live נשאר 24″ · הדמיות נשאר 32″</t>
  </si>
  <si>
    <t xml:space="preserve">הוקפא 19.7 (החלטת David): בדיקות המשתמשים 21.7 על ה-24″ הקיים; הגדלה תיבחן רק אם יישאר זמן</t>
  </si>
  <si>
    <t xml:space="preserve">החלטת גיבוי חומרה (Mac mini/מודם/מיק רזרבי)</t>
  </si>
  <si>
    <t xml:space="preserve">מה קורה אם רכיב נופל באמצע 14 הימים — להחליט על רזרבה לפני התערוכה · לדיון 14.7 ערב</t>
  </si>
  <si>
    <t xml:space="preserve">42b</t>
  </si>
  <si>
    <t xml:space="preserve">✅ הכרעת מיקרופון: Jabra (סופי)</t>
  </si>
  <si>
    <t xml:space="preserve">הוכרע 24.7 — Jabra Evolve2 30, סופי. הרקע: המיקרופון הפתוח (Elgato) קלט את רחל מדברת עם אמא שלה ו-Tico ענה לזה; באולם תערוכה כל צופה שמדבר הופך לקלט. Jabra צמוד-פה חוסם בדיוק את זה. ⚠️ הקלט נשאר על ברירת המחדל של המערכת בכוונה — נעילת ODYSEE_MIC_DEVICE הייתה שוברת את המעבר לאוזניות גיבוי.</t>
  </si>
  <si>
    <t xml:space="preserve">✅ קבלת מודם סלולרי</t>
  </si>
  <si>
    <t xml:space="preserve">~שבועיים — חוסם בדיקת demo-mode · 7.7: המודם ביד. בדיקה מיידית: אותו prompt על מודם מול Wi-Fi HIT — בקמפוס איטי משמעותית מהבית</t>
  </si>
  <si>
    <t xml:space="preserve">מיפוי סופי + אישור חשמל/UPS מול האוצרת</t>
  </si>
  <si>
    <t xml:space="preserve">שקע 230V מוארק + UPS · 19.7: הדמיית drawio הוצגה ליעל בזום. ⚠️ מידות עודכנו 25.7 ונכנסו לפרק 7: קיר קאפה 3.6 (היה 3.3) · שטח עמדה 3.6 (היה 3.5) · מסך live 32״ (היה 24) · מסך הדמיות 40״ (היה 32).</t>
  </si>
  <si>
    <t xml:space="preserve">44b</t>
  </si>
  <si>
    <t xml:space="preserve">✅ קונסטרוקציית רקע/קיר — יעד החלטה</t>
  </si>
  <si>
    <t xml:space="preserve">יעד להחלטת כיוון (מפושט) · לא ביצוע · חוסם מדבקת-קיר + טופס בטיחות</t>
  </si>
  <si>
    <t xml:space="preserve">✅ עיצוב פוסטר 1.2×0.8 (פורטרט)</t>
  </si>
  <si>
    <t xml:space="preserve">גודל סופי 120×80 (נסגר 17.7) · 19.7: C2 נבחר, mockup עם הסימן האמיתי הופק · נותר: טקסטים סופיים מהספר, שם מנחה, QR אמיתי · 23.7: הושלם — agents-flat-v4 שולב, הכותרת ירדה, QR תוקן ל-https://odysee.me</t>
  </si>
  <si>
    <t xml:space="preserve">46b</t>
  </si>
  <si>
    <t xml:space="preserve">מדבקת קיר — לוח המראות (בגודל מלא)</t>
  </si>
  <si>
    <t xml:space="preserve">artwork בגודל מלא — ⚠️ לוודא מידות ה"חלון" מול המסכים החדשים (32"/49") לפני דפוס</t>
  </si>
  <si>
    <t xml:space="preserve">46c</t>
  </si>
  <si>
    <t xml:space="preserve">לופ הודעות — 2 מסכי 15″ + סטרימרים</t>
  </si>
  <si>
    <t xml:space="preserve">⚠️ 25.7: הגישה הוכרעה והתרחבה לשלוש משימות (46e/46f/46g). המסכים מציגים כרטיס הודעה בלבד ולא את הלוח — זה מבטל את בעיית השעון (board.html עוגן ל-Date.now() בכל שורת טיסה, לא רק בווידג'ט). סטרימר עם קובץ מקומי = אפס תלות באינטרנט. ⚠️ מבחן קריאוּת: 15.6״ = 345 מ״מ, 0.18 מ״מ/px ב-1080p. הוכרע גופן גוף 50px (6.4 מ״מ) — קריא מ-1.85 עד 1.90 מ׳. הסרטונים תקפים בכל גובה שייבחר בהקמה, כלומר התלות החוסמת בין ההפקה לתלייה מנוטרלת.</t>
  </si>
  <si>
    <t xml:space="preserve">46e</t>
  </si>
  <si>
    <t xml:space="preserve">✅ הודעות פופאפ — 40 קיימות → יעד 60</t>
  </si>
  <si>
    <t xml:space="preserve">מצב: 40 בקובץ (24 יציאות + 16 נחיתות) · 10 טיוטות נכתבו 25.7, הכיוון אושר, ⚠️ עדיין לא בקובץ · חסרות ~10. ⚠️ למה 60 ולא 120: התוכנית 21+19 בלי חפיפה = בדיוק 40, אפס עודף — הודעה אחת שנפסלת שוברת אותה. ולמה 120 מזיק: התבניות כבר נראות ב-24 ("סידרתי את היום כך ש..." ×3, "כרטיסים אוזלים" ×4) · ⚠️ סחף מהתזה — 40 ההודעות הקיימות כולן חישה של העולם ואף אחת לא קוראת פנימה; בכתיבת 80 בלחץ "נראה לי שאתה עייף" ייכנס כמעט בהכרח, על מסך שתלוי בחלל שטוען את ההפך · המבקר לא יראה את ההבדל. פתוח: פיצול יציאות/נחיתות (הטיוטות מטות ל-34/26). קטגוריות חדשות שנפתחו: תשתית · חלונות זמן · לוח שנה מקומי · כללי מקום · עונתיות · לוגיסטיקה. · ⚠️ סטטוס בהסקה — לאימות David: 46f נסגר, וסרטונים אינם מופקים מקובץ הודעות חסר.</t>
  </si>
  <si>
    <t xml:space="preserve">46f</t>
  </si>
  <si>
    <t xml:space="preserve">✅ הפקת שני סרטוני הלוח (Playwright + ffmpeg)</t>
  </si>
  <si>
    <t xml:space="preserve">⚠️ לא הופק פריים אחד. הפקה, לא הקלטת מסך: (1) עמוד HTML של כרטיס בודד 1920×1080, גוף 50px, בלי הלוח (2) Playwright מייצר PNG לכל הודעה (3) ffmpeg מרכיב ב-concat עם משכים מדויקים. ספירת פריימים מדויקת, אפס דריפט, רנדר מחדש בשנייה אם הגופן משתנה. ⚠️ showPopup בוחר rnd(set) בזמן ריצה — בווידאו האקראיות קורית פעם אחת בבנייה, עם זרע קבוע כדי שרנדר חוזר ייתן אותה רשימה; מספרי הטיסה מוטבעים. ⚠️ קצב, לא אורך: 315 מול 285 שניות נותן 315÷21=15 ו-285÷19=15 — אותו קצב בדיוק, שני המסכים יחליפו הודעה באותו רגע תמיד. ההצעה: 15 שנ׳ מול 16 שנ׳ (315 מול 304) — מתלכדים פעם ב-240 שניות לפריים בודד. ⚠️ הלולאה מתחילה ומסתיימת במצב הריק ורונדרים פריימים 0..N-1 — "פריים אחרון = פריים ראשון" יוצר פריים כפול ומיקרו-קפיצה. ⚠️ אם אין פסקול — לייצר בלי טראק אודיו כלל, לא עם שקט (טראק שקט = נקודת כשל בסטרימר בלי תמורה). · ✅ נסגר (עדכון David, 30.7).</t>
  </si>
  <si>
    <t xml:space="preserve">46g</t>
  </si>
  <si>
    <t xml:space="preserve">תלייה + 5 מבחנים תפעוליים למסכי 15″</t>
  </si>
  <si>
    <t xml:space="preserve">המלצה: 1.75 מ׳ כקצה תחתון (מרכז ~1.85). חמישה מבחנים: (1) האם המסך נדלק לבד אחרי החזרת חשמל (2) האם הסטרימר מנגן בלולאה לבד אחרי ניתוק (3) overscan (4) בהירות (5) הטיה. ⚠️ שקע חכם אינו פותר את 1–2 — הוא שולט בחשמל, לא בכפתור ההפעלה. קודם לבדוק, אחר כך להחליט על רכש. ⚠️ המתקן שנרכש נותן 15° הטיה בלבד. שאלת תכנון פתוחה: האם ה-15″ הם מידע שנקרא או סצנוגרפיה שיוצרת אווירת שדה תעופה — ההערכה: סצנוגרפיה. מבקר שקורא 40 הודעות טיסה במקום להתעסק עם Tico הוא מבקר שהתערוכה איבדה.</t>
  </si>
  <si>
    <t xml:space="preserve">46d</t>
  </si>
  <si>
    <t xml:space="preserve">✅ מסך הדמיות — תוכן, בנייה, ORDER ופריסה</t>
  </si>
  <si>
    <t xml:space="preserve">1.8: שני מסכי שאלות נבנו — s3 "מה Tico שואל" (9 שאלות ליבה, נוסח verbatim מ-05-ux.tex, גלגלת 33ש) ו-s9 "מה שואלים את Tico" (12 שאלות מבקרים, טיקר עצמאי). ORDER=[1,9,4,2,3,8] — רק מסכים גמורים. 5/6/7 יצאו מהלופ ונשארו בקובץ כשלד. רצועת הנקודות נגזרת מ-ORDER (הייתה לפי מזהה מסך). מסנן מקלדת לפי מסכים קיימים. גלאי תקיעת וידאו (~10ש במקום 120). פרוס ל-i7, שורש אומת בשני הצדדים, ריבוט ולופ נקי עברו. b161c12+c73068e</t>
  </si>
  <si>
    <t xml:space="preserve">46h</t>
  </si>
  <si>
    <t xml:space="preserve">הטמעת מסכים 3+4 ב-player.html → פריסה שנייה ל-i7</t>
  </si>
  <si>
    <t xml:space="preserve">⚠️ מסך 3 (screen3-questions-dev.html) כתוב, בדוק וקומיט — חסר רק העברת הבלוק פנימה. מסך 4 דורש כיוונון. אימות: grep -c 'immigration' player.html → 0 כרגע, 1 אחרי ההטמעה. אחריו AirDrop של קובץ אחד (10KB) ל-i7 ואימות ב-grep. ⚠️ ~/odysee-display אינו ריפו גיט (git rev-parse → NOT_A_GIT_REPO) — פריסה לשם היא תמיד העתקה ידנית, לתמיד, ולעולם לא git pull. כלל פריסה: mv הישן ל-.old-YYYYMMDD ולא לדרוס — חזרה אחורה בשלוש פקודות. ⚠️ מסך 3 בכוונה בלי הפנים ובלי איפוס טיקר בכניסה: המסך הוא קולו של המבקר ולא של Tico, ופנים במרכז מוקפות בשאלות = אורקל, סותר את התזה.</t>
  </si>
  <si>
    <t xml:space="preserve">46i</t>
  </si>
  <si>
    <t xml:space="preserve">✅ i7 autostart — הפריט שנגרר מ-15.7</t>
  </si>
  <si>
    <t xml:space="preserve">נסגר 25.7. המצב שנמצא: ~/Library/LaunchAgents הכיל רק plists של Google, launchctl ריק, אין Login Items — שום דבר לא הפעיל את הקיוסק, לא בהפעלה ולא בכלל. FileVault Off ✓ (התנאי המסוכן ביותר). ⚠️ displaysleep היה 180 — המסך היה נכבה אחרי 3 שעות גם בלי שומר מסך. נבנה ~/odysee-kiosk/start-display.sh עם caffeinate -dimsu (פותר שומר מסך ו-displaysleep יחד, בלי תצורה גלובלית שנשכחת) + exec (חובה עם KeepAlive — סקריפט שיוצא מיד יוצר לולאת שיגור אינסופית) + ללא until curl (ל-i7 אין שרת, הוא טוען file://). שני המבחנים עברו כולל ריבוט מלא — הלולאה חזרה לבד בלי מקלדת. סוגר מבחנים 1 ו-2 מתוך החמישה התפעוליים. ⚠️ KeepAlive מלכודת בפיתוח: Cmd+Q לא עוצר; עצירה = launchctl bootout gui/$(id -u)/me.odysee.display.</t>
  </si>
  <si>
    <t xml:space="preserve">46j</t>
  </si>
  <si>
    <t xml:space="preserve">⚠️ גיבוי kiosk ל-display/kiosk/ בריפו</t>
  </si>
  <si>
    <t xml:space="preserve">⚠️ start-display.sh ו-me.odysee.display.plist קיימים רק על ה-i7 ואין להם גיבוי בשום ריפו. הם קוד, לא תצורה — דיסק שנופל מוחק אותם. להעתיק ל-display/kiosk/ ולקמט. אימות: ls display/kiosk/ 2&gt;/dev/null || echo MISSING.</t>
  </si>
  <si>
    <t xml:space="preserve">46k</t>
  </si>
  <si>
    <t xml:space="preserve">עדכון display/README.md — 3 סעיפים מטעים</t>
  </si>
  <si>
    <t xml:space="preserve">שלושה סעיפים בוצעו 25.7 בערב וה-README עדיין סותר אותם: "Missing asset - media/hero.mp4" · "Not verified against the i7" · "DO NOT deploy toward the i7". לעדכן בקומיט נפרד. אימות: grep -n 'Missing asset' display/README.md.</t>
  </si>
  <si>
    <t xml:space="preserve">QR/הדפסת מסלול — takeaway פיזי למבקר</t>
  </si>
  <si>
    <t xml:space="preserve">פריסת הדפסה/QR; תלוי בפיצ'ר ה-export (משימה 32) · 7.7: חבילת דפוס דו-צדדית סופית — FRONT-v4 (ברקוד הוסר, שדה 30×30, הסימן נשאר) + BACK חדש (lockup + odysee.me) + brief v2. דו-צדדי אושר מול בית הדפוס — לשלוח עדכון הזמנה</t>
  </si>
  <si>
    <t xml:space="preserve">47b</t>
  </si>
  <si>
    <t xml:space="preserve">הזמנת הדפסת כרטיסי boarding pass</t>
  </si>
  <si>
    <t xml:space="preserve">מול בית דפוס · מצע פיזי לתווית QL-800 (32b) · עיצוב תלוי בפריסת takeaway · הוזמן · צפי הגעה ~20.7</t>
  </si>
  <si>
    <t xml:space="preserve">47c</t>
  </si>
  <si>
    <t xml:space="preserve">רכש: גליל DK-22210 (רציף 29) + סטנד כרטיסים</t>
  </si>
  <si>
    <t xml:space="preserve">גליל רציף 29מ"מ (לא die-cut) לתווית 29×29 — יש sample לבדיקת תבנית · סטנד ברושורים לשולחן (חנן 7.7) · 14.7: 2 גלילים נאספים היום · נותר: סטנד כרטיסים</t>
  </si>
  <si>
    <t xml:space="preserve">הדפסת קאפות (לוח יציאות) — נשלח לדפוס</t>
  </si>
  <si>
    <t xml:space="preserve">23.7: שלושת ה-PDF ‏(david_0546009000_120x240_1..3, ‏v2 שולי 2מ"מ אפויים) נשלחו למדפיס · cutouts אומתו פיזית · אין חיתוכים במפעל — David חותך במקום (CUTLINES.pdf v2) · איסוף: שני 27.7 · 810₪+מע"מ</t>
  </si>
  <si>
    <t xml:space="preserve">הרכבת חומרה + בדיקות</t>
  </si>
  <si>
    <t xml:space="preserve">שני 27.7: הדרכת גובה 09:00 → איסוף ציוד + קאפה · שלישי 28.7: קונסטרוקציית קאפה. מסך 40״ הדמיות · Jabra · כפתורים (VESA-plate מתחת למסך, ~35° מעלה) · ✅ מדבקות כפתורים הודבקו 22.7, test-fit עבר. ⚠️ כלי חיתוך לקאפה לרשימת הציוד: סכין יפנית חדה + סרגל מתכת + חור-התחלה לעיגול. ⚠️ כלל תכנון שהתגלה 25.7: אובייקט הבולט יותר מ-100 מ״מ מקיר צריך להיות מתחת ל-0.68 מ׳ או מעל ~2.03 מ׳ (ראשים) — לכן 1.75 מ׳ כקצה תחתון של מסכי ה-15״, לא כמרכז.</t>
  </si>
  <si>
    <t xml:space="preserve">50</t>
  </si>
  <si>
    <t xml:space="preserve">✅ דימויים ליח"צ (לוח HIT)</t>
  </si>
  <si>
    <t xml:space="preserve">נסגר 19.7: לוגו Tico הועבר — מספיק בשלב זה</t>
  </si>
  <si>
    <t xml:space="preserve">50b</t>
  </si>
  <si>
    <t xml:space="preserve">תוכנית חשמל לגילת — נקודות לעמדה</t>
  </si>
  <si>
    <t xml:space="preserve">מסמך נבנה 19.7 (docx + סקיצת מבט-על, bidi תקין) · ציוד: M4 · 24″ live תלוי · 32″ הדמיות+i7 · QL-800 · 2×15″ USB · מודם · UPS · 617W≈2.7A · נותר: שליחה לגילת עד 20.7</t>
  </si>
  <si>
    <t xml:space="preserve">50c</t>
  </si>
  <si>
    <t xml:space="preserve">טבלת דרישות ציוד חשמל + הדמיה</t>
  </si>
  <si>
    <t xml:space="preserve">רק ציוד: כבלים/מפצלים + הדמיה ופרטים אישיים</t>
  </si>
  <si>
    <t xml:space="preserve">51</t>
  </si>
  <si>
    <t xml:space="preserve">✅ שליחת פוסטר לאישור יעל</t>
  </si>
  <si>
    <t xml:space="preserve">תנאי: אישור מנחה — חנן אישר קונספט 16.7 ✓ · ✅ יעל אישרה 24.7 בבוקר. אחריה בוצע סבב עקביות מלא מול נספח א.2 שתפס 5 שמות ספקים בדיוניים ואת טענת "END-TO-END &lt; 3s" (הלוג נותן 6.0-6.5ש' בטוב ו-15-20 בבנייה) — הוסרה.</t>
  </si>
  <si>
    <t xml:space="preserve">51b</t>
  </si>
  <si>
    <t xml:space="preserve">✅ שליחת קובץ פוסטר למירי</t>
  </si>
  <si>
    <t xml:space="preserve">נשלח 25.7 — odysee-poster-final-v4.pdf. אומת: 80.00×120.02 ס״מ · 9449×14175px = 300 PPI מדויק · אין SMask ואין /Group · ארבעת הקצוות נייבי אטום · sRGB. QR הופק מחדש (המקור היה 1.03 מודולים אזור שקט מול 4 בתקן) — 1998×1998, Version 3, ECC H, מפענח ל-https://odysee.me. ⚠️ עמוד ה-PDF מצהיר 80×120 — אבל עדיין לכתוב "80×120" בגוף ההודעה למירי. ⚠️ שאלת הבליד פתוחה → 51c.</t>
  </si>
  <si>
    <t xml:space="preserve">51c</t>
  </si>
  <si>
    <t xml:space="preserve">שאלת הבליד למירי — דורש ייצוא נוסף</t>
  </si>
  <si>
    <t xml:space="preserve">⚠️ בליד ×2 — פוסטר (מירי) וספר (בית דפוס). שניהם דורשים ייצוא נוסף ואף אחד מהם אינו סגור עד שיש תשובה. אין לסמן את 51b כסגור סופית לפני זה.</t>
  </si>
  <si>
    <t xml:space="preserve">52</t>
  </si>
  <si>
    <t xml:space="preserve">קבלת חדר התערוכה + עבודות מלכלכות</t>
  </si>
  <si>
    <t xml:space="preserve">23.7: ב-24.7 ניקיון בלבד — אין צורך בנוכחות David. ⚠️ מיום ראשון 26.7 מותר להתמקם בחדר; David מגיע שני 27.7 אחרי הדרכת הגובה.</t>
  </si>
  <si>
    <t xml:space="preserve">52b</t>
  </si>
  <si>
    <t xml:space="preserve">הדרכת גובה 09:00</t>
  </si>
  <si>
    <t xml:space="preserve">דוד · שלומי · גילת · פליקס</t>
  </si>
  <si>
    <t xml:space="preserve">52c</t>
  </si>
  <si>
    <t xml:space="preserve">חשמלאי באתר — יוסי ישורון</t>
  </si>
  <si>
    <t xml:space="preserve">עבודות רועשות מותרות רק ב-2.8, לא ב-3.8</t>
  </si>
  <si>
    <t xml:space="preserve">52d</t>
  </si>
  <si>
    <t xml:space="preserve">⚠️ מצגת הגשה — 30 דקות (חדר 101/6)</t>
  </si>
  <si>
    <t xml:space="preserve">⚠️ לא התחילה. שובצה ל-31.7–1.8 ושני הימים הלכו לקוד. הג׳ורי ב-4.8 ב-10:00; 75% מהציון = מיצב עומד + פרזנטציה. זהו הפריט בעל הסיכון הגבוה ביותר בתוכנית. החומר לדקות 8–16 יושב ב-~45 קובצי handoff ולא בדק</t>
  </si>
  <si>
    <t xml:space="preserve">52e</t>
  </si>
  <si>
    <t xml:space="preserve">משמרות ליווי במתחם — שיריון</t>
  </si>
  <si>
    <t xml:space="preserve">מול אריאל ושקד</t>
  </si>
  <si>
    <t xml:space="preserve">52g</t>
  </si>
  <si>
    <t xml:space="preserve">מקלדת + מסך בארון התערוכה</t>
  </si>
  <si>
    <t xml:space="preserve">⚠️ Screen Sharing ו-Remote Login כבויים ב-i7 (ssh odysee@Macmini.local נכשל), ו-sudo חסום ל-odysee בכוונה. חצי שעה אבדה 25.7 לניסיון שליטה מרחוק כשה-i7 היה שני מטרים משם. מסקנה מבצעית: גישה פיזית היא חלק מהתוכנית, לא כישלון שלה — מקלדת ומסך בארון. רלוונטי גם ל-M4: הרשת בתערוכה תדרוש הזנת סיסמה ידנית פעם אחת.</t>
  </si>
  <si>
    <t xml:space="preserve">52i</t>
  </si>
  <si>
    <t xml:space="preserve">נוהל 4.8 — השתקה וכיסוי כפתורים בין 08:00 ל-10:00</t>
  </si>
  <si>
    <t xml:space="preserve">⚠️ שורה חדשה 30.7 — לא היה לה פריט בתוכנית. שני פרויקטים אחרים מציגים בתוך החדר בין 08:00 ל-10:00, ואחרי 10:50 יש עוד שש שעות של סבבים 2 ו-3. מיצב קולי עם שני כפתורים לא מסומנים עומד שם כל הזמן הזה, ו-F13 יורה קליפים בלי תלות בשום דבר. הנוהל: חימום 07:30 בחדר ריק (העמדה דורשת ~10 דקות) → ווליום מערכת 0 + כיסוי פיזי על קופסת הכפתורים מ-08:00 → הסרה ב-09:55 → החזרה למצב מוגן ב-10:50. ~10 דקות עבודה, מסירה מחלקה שלמה של כשלים. ⚠️ תלוי ב-35b: המערכת מעולם לא נבדקה אחרי שעתיים וחצי idle ואז תור חי.</t>
  </si>
  <si>
    <t xml:space="preserve">52j</t>
  </si>
  <si>
    <t xml:space="preserve">שילוט פיזי לכפתורים — ליד הקופסה</t>
  </si>
  <si>
    <t xml:space="preserve">⚠️ שורה חדשה 30.7. **מחליף את צ׳יפי האפורדנס, לא משלים אותם** (ראה 36m). הבעיה שהצ׳יפים פתרו — מבקר לא יודע לאן ללחוץ — נפתרת טוב יותר בשילוט, והשילוט נחשב לעיצוב תערוכה, שנמדד ב-4.8, בעוד באג צביעה ב-CSS אינו נמדד בכלל. ⚠️ עד להקמה המשפט של Tico (כלל 7: כפתור כחול, קופסה מתחת למסך) הוא הדרך היחידה שמבקר לומד לאן ללחוץ — נקודת כשל בודדת. מגבלות: Tico Orange #E5763C כמילוי בלבד; טקסט כתום = Orange 700 #C75D29. הכחול = Navy 300 #8499B3, זהה למסך (36k).</t>
  </si>
  <si>
    <t xml:space="preserve">52k</t>
  </si>
  <si>
    <t xml:space="preserve">דף מפעיל לאריאל ושקד — 4 מ-6 פערים נסגרו</t>
  </si>
  <si>
    <t xml:space="preserve">1.8: נכנס לריפו (docs/dapei-mafil-odysee.md). נסגרו: רצף הדלקה 20 דק מראש + סבב חימום חובה, timeout 2.5 דק (מיושר ל-150ש), הפעלה מחדש = כיבוי והדלקה (auto-login), מסך שחור. נוסף סעיף שלם למסך ההדמיות + מיפוי Neo (מקש n = נקודה n). ⬜ נותרו שניים: רצף שחזור הסטרימרים (דורש שלט ביד במכון) + מה נעול בסוף היום (שאלה לגילה). וגם: טלפון David בכותרת. להדפיס 2 עותקים</t>
  </si>
  <si>
    <t xml:space="preserve">52h</t>
  </si>
  <si>
    <t xml:space="preserve">  אבני דרך — Milestones</t>
  </si>
  <si>
    <t xml:space="preserve">אבן דרך</t>
  </si>
  <si>
    <t xml:space="preserve">📌 פגישת מנחה</t>
  </si>
  <si>
    <t xml:space="preserve">מגדיר את דרישות הצגת הביניים</t>
  </si>
  <si>
    <t xml:space="preserve">📌 הצגת ביניים</t>
  </si>
  <si>
    <t xml:space="preserve">יום שלישי 16.6 · deck v10 + presenter notes מוכנים · חזרה אחרונה 15.6 ערב · האתר לא מוצג</t>
  </si>
  <si>
    <t xml:space="preserve">54b</t>
  </si>
  <si>
    <t xml:space="preserve">📌 הצגת video board לחנן</t>
  </si>
  <si>
    <t xml:space="preserve">יעד סיום board 06.07 · הצגת זיכרון-אור (במקום iPad) לאישור</t>
  </si>
  <si>
    <t xml:space="preserve">54c</t>
  </si>
  <si>
    <t xml:space="preserve">📌 אישור אוצרת — קיר/מידות/מיקום</t>
  </si>
  <si>
    <t xml:space="preserve">חוסם הדפסת קאפות לוח היציאות</t>
  </si>
  <si>
    <t xml:space="preserve">54d</t>
  </si>
  <si>
    <t xml:space="preserve">📌 תחילת soak 14 ימים</t>
  </si>
  <si>
    <t xml:space="preserve">על ה-Mac mini, ללא השגחה. ⚠️ נקטע 21.7 לשינוע לבדיקות, נצבר בפועל ~3 ימים ולא שבוע. ⚠️ מתאפס שוב בראשון 26.7 בגלל bootout מתוכנן למשתני המיקרופון — אין סיבה לשלם את זה פעמיים, לאחד את כל שינויי ה-env לפריסה אחת.</t>
  </si>
  <si>
    <t xml:space="preserve">✅ 📌 הקפאת ספר</t>
  </si>
  <si>
    <t xml:space="preserve">נסגר 25.7 בצהריים. build נקי, 3 קומיטים אטומיים, נדחף origin/main @ 253e4c3. ⚠️ main.tex פריז — כל שינוי לגרסה המודפסת נגמר כאן; שינויים נוספים נכנסים רק לגרסה הדיגיטלית של 30.8.</t>
  </si>
  <si>
    <t xml:space="preserve">55b</t>
  </si>
  <si>
    <t xml:space="preserve">✅ 📌 קובץ ספר נמסר להדפסה</t>
  </si>
  <si>
    <t xml:space="preserve">⚠️ אבן הדרך שקובעת אם עותק התצוגה קיים ב-4.8. 3–5 ימי עבודה + 1–3 משלוח: מסירה 27.7 ⇒ נחיתה 2–3.8 ⇒ יום באפר אחד. כל יום איחור אוכל את הבאפר במלואו. חסום על שיחת בית הדפוס (11d) ועל קובץ הכריכה (11e). · ✅ נסגר: הספר הודפס אצל Top Album ושליח בדרך, צפי הגעה ראשון 2.8. הבאפר של יום אחד שנחשש לו לא נצרך.</t>
  </si>
  <si>
    <t xml:space="preserve">📌 dry-run מלא בתנאי תערוכה</t>
  </si>
  <si>
    <t xml:space="preserve">ריצה מלאה כמו יום הפתיחה · ⚠️ 30.7: קוצר מ-3–5.8 ל-3.8 בלבד. dry-run שנגמר יום אחרי הביקורת אינו dry-run.</t>
  </si>
  <si>
    <t xml:space="preserve">56c</t>
  </si>
  <si>
    <t xml:space="preserve">📌 ביקורת ג'ורי במקום (מיצב עובד ~90%)</t>
  </si>
  <si>
    <t xml:space="preserve">יומיים לפני הפתיחה, במקום, על מיצב מונח ועובד (חנן 7.7) — הדדליין האפקטיבי של "הכל עובד" · ⚠️ 30.7 מייל חנן, פרטים מלאים: 4.8, חדר 101/6, 08:00–17:00, שלושה סבבים, 50 דקות לפרויקט (30 פרזנטציה + 20 ביקורת), המנטור מסכם. David משובץ 10:00 — שלישי מתוך שלושה בסבב 1. ⚠️ הדדליין הזה נרשם כאן ב-7.7 ולא ב-30.7 — התוכנית ידעה, וההצלבה היא שאיחרה.</t>
  </si>
  <si>
    <t xml:space="preserve">📌 הגשה סופית + מצגת (חדר 101/6 — בתערוכה)</t>
  </si>
  <si>
    <t xml:space="preserve">SUBMIT</t>
  </si>
  <si>
    <t xml:space="preserve">ההגשה בכיתה 101 — מומלץ מצגת · הספר עצמו: דיגיטלית עד 30.8 · ⚠️ 30.7: "כיתה 101" תוקן — ההגשה מתקיימת בתוך התערוכה, חדר 101/6.</t>
  </si>
  <si>
    <t xml:space="preserve">📌 פתיחת תערוכה</t>
  </si>
  <si>
    <t xml:space="preserve">LIVE</t>
  </si>
  <si>
    <t xml:space="preserve">57b</t>
  </si>
  <si>
    <t xml:space="preserve">📌 הגשת ספר דיגיטלית לעדי</t>
  </si>
  <si>
    <t xml:space="preserve">adifr@hit.ac.il · לא חלק מהתערוכה · שינויים אחרי הדפוס — דיגיטלית בלבד</t>
  </si>
  <si>
    <t xml:space="preserve">Track Summary</t>
  </si>
  <si>
    <t xml:space="preserve">Track</t>
  </si>
  <si>
    <t xml:space="preserve">Name</t>
  </si>
  <si>
    <t xml:space="preserve">Start</t>
  </si>
  <si>
    <t xml:space="preserve">End</t>
  </si>
  <si>
    <t xml:space="preserve">Duration</t>
  </si>
  <si>
    <t xml:space="preserve">Focus</t>
  </si>
  <si>
    <t xml:space="preserve">✅ הטראק סגור. freeze 25.7 (253e4c3) · הספר הודפס אצל Top Album (11d), שליח בדרך, צפי ראשון 2.8 — הבאפר לא נצרך. קובץ הכריכה (11e) נסגר. נותר רק 11g: סעיף הפיילוט לגרסה הדיגיטלית של 30.8, שהיא הגרסה הנבחנת.</t>
  </si>
  <si>
    <t xml:space="preserve">✅ 20b נסגר 29.7 (451cd08) והיה שכתוב ולא מעבר — ספקים בדיוניים תחת ✓Implemented ב-agents.html, exhibition.html שתיאר תערוכה אחרת, ו-Concierge בתוך _template.html. ⚠️ פתוח ולא דחוף: מיגרציית Brand V5 חסרה בארבעה דפים (Poppins + זהב #C8A96E ב-agents / ux-flows / onboarding / project-plan) — אותו בלוק CSS יעבוד על שלושתם, שלוש הדבקות. **לא לפני 4.8** — האתר אינו נמדד בביקורת.</t>
  </si>
  <si>
    <t xml:space="preserve">אפליקציה + דמו</t>
  </si>
  <si>
    <t xml:space="preserve">✅ 36j נסגר 29.7 (df3caa2, v5 אחרי ארבעה כשלונות מדודים) · 36k הוכרע 30.7 (Navy 300 #8499B3) · חזרה אוטומטית ל-idle בענף latency-idle-2026-07-29, שלושה מבחנים עברו, החלטת מיזוג שבת בצהריים והרף עלה: המבחנים חייבים לעבור שוב אחרי המיזוג על main, לא רק על הענף. ⚠️ הפתוח החמור: 36i (F14 תקוע) — סטטוס לא ידוע, אימות לפני החלטה. 36l (takeaway_started בלי מטפל) חוסם את פרזנטציית 4.8. 35b (idle 2.5 שעות ואז תור חי) הוא התרחיש של בוקר הביקורת ומעולם לא נבדק. 36m (צ׳יפי אפורדנס) הוקפא לטובת 52j. 36d geocoding לא התחיל.</t>
  </si>
  <si>
    <t xml:space="preserve">סרט Hero</t>
  </si>
  <si>
    <t xml:space="preserve">סגור. המאסטר odysee1_-_HD.m4v (1:03) פרוס ומאומת על ה-i7, אודיו מנורמל ל--17.7 LUFS. ⚠️ סטטוס H4/H6 בהסקה — לאימות David.</t>
  </si>
  <si>
    <t xml:space="preserve">תערוכה / לוגיסטיקה</t>
  </si>
  <si>
    <t xml:space="preserve">✅ 46e+46f נסגרו — סרטוני הלוח הופקו · פוסטר אצל מירי (⚠️ בליד 51c) · קאפה נאספה · Jabra הוכרע · i7 autostart סגור. ⚠️ שלוש שורות חדשות מ-30.7 ששייכות כולן לבוקר הביקורת: 52i (השתקה וכיסוי כפתורים 08:00–10:00 — שני פרויקטים אחרים מציגים בחדר שלך), 52j (שילוט פיזי, מחליף את צ׳יפי האפורדנס ונחשב לעיצוב תערוכה שנמדד), 52k (דף מפעיל לאריאל ושקד, שלושה ⬜). ⚠️ 46g תלייה + 5 מבחנים תפעוליים נגמר 3.8 — יום אחד לפני שעיצוב התערוכה נמדד.</t>
  </si>
  <si>
    <t xml:space="preserve">אבני דרך</t>
  </si>
  <si>
    <t xml:space="preserve">✅ הקפאת ספר 25.7 · 55b נסגר (הספר הודפס). ⚠️ 56 dry-run קוצר מ-3–5.8 ל-3.8 בלבד — dry-run שנגמר אחרי הביקורת אינו dry-run. ⚠️ 56c (4.8, מיצב עובד) נרשם כדדליין האפקטיבי כבר ב-7.7 — מייל חנן מ-30.7 רק הוסיף פרטים: חדר 101/6, 08:00–17:00, 50 דקות לפרויקט (30+20), David 10:00, 75% ממוצע מנחים + 25% מנטור, ובמפורש גם עיצוב התערוכה ואיכות הפרזנטציה. 57 תוקן — ההגשה בתערוכה ולא בכיתה 101. פתיחה 6.8 · ספר דיגיטלי 30.8.</t>
  </si>
</sst>
</file>

<file path=xl/styles.xml><?xml version="1.0" encoding="utf-8"?>
<styleSheet xmlns="http://schemas.openxmlformats.org/spreadsheetml/2006/main">
  <numFmts count="3">
    <numFmt numFmtId="164" formatCode="General"/>
    <numFmt numFmtId="165" formatCode="dd/mm/yyyy"/>
    <numFmt numFmtId="166" formatCode="0&quot; days&quot;"/>
  </numFmts>
  <fonts count="17">
    <font>
      <sz val="11"/>
      <color theme="1"/>
      <name val="Calibri"/>
      <family val="2"/>
      <charset val="1"/>
    </font>
    <font>
      <sz val="10"/>
      <name val="Arial"/>
      <family val="0"/>
    </font>
    <font>
      <sz val="10"/>
      <name val="Arial"/>
      <family val="0"/>
    </font>
    <font>
      <sz val="10"/>
      <name val="Arial"/>
      <family val="0"/>
    </font>
    <font>
      <b val="true"/>
      <sz val="16"/>
      <color rgb="FFC8A44A"/>
      <name val="Calibri"/>
      <family val="0"/>
      <charset val="1"/>
    </font>
    <font>
      <sz val="10"/>
      <color rgb="FF8A8070"/>
      <name val="Calibri"/>
      <family val="0"/>
      <charset val="1"/>
    </font>
    <font>
      <sz val="10"/>
      <color rgb="FF8A8070"/>
      <name val="Arial Unicode MS"/>
      <family val="2"/>
    </font>
    <font>
      <b val="true"/>
      <sz val="10"/>
      <color rgb="FFE4DDD0"/>
      <name val="Calibri"/>
      <family val="0"/>
      <charset val="1"/>
    </font>
    <font>
      <b val="true"/>
      <sz val="10"/>
      <color rgb="FFE4DDD0"/>
      <name val="FreeSans"/>
      <family val="2"/>
      <charset val="1"/>
    </font>
    <font>
      <b val="true"/>
      <sz val="11"/>
      <color rgb="FFC8A44A"/>
      <name val="FreeSans"/>
      <family val="2"/>
      <charset val="1"/>
    </font>
    <font>
      <sz val="10"/>
      <color rgb="FFE4DDD0"/>
      <name val="Calibri"/>
      <family val="0"/>
      <charset val="1"/>
    </font>
    <font>
      <sz val="10"/>
      <color rgb="FFE4DDD0"/>
      <name val="FreeSans"/>
      <family val="2"/>
      <charset val="1"/>
    </font>
    <font>
      <b val="true"/>
      <sz val="10"/>
      <color rgb="FF8B5CF6"/>
      <name val="Calibri"/>
      <family val="0"/>
      <charset val="1"/>
    </font>
    <font>
      <b val="true"/>
      <sz val="14"/>
      <color rgb="FFC8A44A"/>
      <name val="Calibri"/>
      <family val="0"/>
      <charset val="1"/>
    </font>
    <font>
      <b val="true"/>
      <sz val="10"/>
      <color rgb="FFC8A44A"/>
      <name val="FreeSans"/>
      <family val="2"/>
      <charset val="1"/>
    </font>
    <font>
      <sz val="10"/>
      <color rgb="FFD0C8BC"/>
      <name val="Calibri"/>
      <family val="0"/>
      <charset val="1"/>
    </font>
    <font>
      <sz val="10"/>
      <color rgb="FFD0C8BC"/>
      <name val="FreeSans"/>
      <family val="2"/>
      <charset val="1"/>
    </font>
  </fonts>
  <fills count="6">
    <fill>
      <patternFill patternType="none"/>
    </fill>
    <fill>
      <patternFill patternType="gray125"/>
    </fill>
    <fill>
      <patternFill patternType="solid">
        <fgColor rgb="FF07091A"/>
        <bgColor rgb="FF0A0F22"/>
      </patternFill>
    </fill>
    <fill>
      <patternFill patternType="solid">
        <fgColor rgb="FF0E1428"/>
        <bgColor rgb="FF0A0F22"/>
      </patternFill>
    </fill>
    <fill>
      <patternFill patternType="solid">
        <fgColor rgb="FF3D2E00"/>
        <bgColor rgb="FF333333"/>
      </patternFill>
    </fill>
    <fill>
      <patternFill patternType="solid">
        <fgColor rgb="FF0A0F22"/>
        <bgColor rgb="FF0E142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right" vertical="bottom" textRotation="0" wrapText="false" indent="0" shrinkToFit="false"/>
      <protection locked="true" hidden="false"/>
    </xf>
    <xf numFmtId="164" fontId="9" fillId="4" borderId="0" xfId="0" applyFont="true" applyBorder="tru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center" vertical="bottom" textRotation="0" wrapText="false" indent="0"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5" fontId="10"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right" vertical="bottom" textRotation="0" wrapText="false" indent="0" shrinkToFit="false"/>
      <protection locked="true" hidden="false"/>
    </xf>
    <xf numFmtId="165" fontId="10" fillId="5" borderId="0" xfId="0" applyFont="true" applyBorder="false" applyAlignment="true" applyProtection="false">
      <alignment horizontal="left" vertical="bottom" textRotation="0" wrapText="false" indent="0" shrinkToFit="false"/>
      <protection locked="true" hidden="false"/>
    </xf>
    <xf numFmtId="164" fontId="12" fillId="5" borderId="0" xfId="0" applyFont="true" applyBorder="fals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4" fontId="10" fillId="3" borderId="0"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bottom" textRotation="0" wrapText="false" indent="0" shrinkToFit="false"/>
      <protection locked="true" hidden="false"/>
    </xf>
    <xf numFmtId="164" fontId="14" fillId="4" borderId="0" xfId="0" applyFont="true" applyBorder="false" applyAlignment="true" applyProtection="false">
      <alignment horizontal="center" vertical="bottom" textRotation="0" wrapText="false" indent="0" shrinkToFit="false"/>
      <protection locked="true" hidden="false"/>
    </xf>
    <xf numFmtId="165" fontId="15" fillId="4" borderId="0" xfId="0" applyFont="true" applyBorder="false" applyAlignment="true" applyProtection="false">
      <alignment horizontal="left" vertical="bottom" textRotation="0" wrapText="false" indent="0" shrinkToFit="false"/>
      <protection locked="true" hidden="false"/>
    </xf>
    <xf numFmtId="166" fontId="15" fillId="4" borderId="0" xfId="0" applyFont="true" applyBorder="false" applyAlignment="true" applyProtection="false">
      <alignment horizontal="center" vertical="bottom" textRotation="0" wrapText="false" indent="0" shrinkToFit="false"/>
      <protection locked="true" hidden="false"/>
    </xf>
    <xf numFmtId="164" fontId="16" fillId="4"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A0F22"/>
      <rgbColor rgb="FF808000"/>
      <rgbColor rgb="FF800080"/>
      <rgbColor rgb="FF008080"/>
      <rgbColor rgb="FFD0C8BC"/>
      <rgbColor rgb="FF8A8070"/>
      <rgbColor rgb="FF9999FF"/>
      <rgbColor rgb="FF993366"/>
      <rgbColor rgb="FFFFFFCC"/>
      <rgbColor rgb="FFCCFFFF"/>
      <rgbColor rgb="FF660066"/>
      <rgbColor rgb="FFFF8080"/>
      <rgbColor rgb="FF0066CC"/>
      <rgbColor rgb="FFE4DDD0"/>
      <rgbColor rgb="FF07091A"/>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B5CF6"/>
      <rgbColor rgb="FFC8A44A"/>
      <rgbColor rgb="FF003366"/>
      <rgbColor rgb="FF339966"/>
      <rgbColor rgb="FF0E1428"/>
      <rgbColor rgb="FF3D2E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4"/>
  <sheetViews>
    <sheetView showFormulas="false" showGridLines="true" showRowColHeaders="true" showZeros="true" rightToLeft="false" tabSelected="true" showOutlineSymbols="true" defaultGridColor="true" view="normal" topLeftCell="A11" colorId="64" zoomScale="100" zoomScaleNormal="100" zoomScalePageLayoutView="100" workbookViewId="0">
      <selection pane="topLeft" activeCell="A31" activeCellId="0" sqref="A3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40"/>
    <col collapsed="false" customWidth="true" hidden="false" outlineLevel="0" max="5" min="4" style="1" width="16"/>
    <col collapsed="false" customWidth="true" hidden="false" outlineLevel="0" max="7" min="6" style="1" width="12"/>
    <col collapsed="false" customWidth="true" hidden="false" outlineLevel="0" max="8" min="8" style="1" width="52"/>
  </cols>
  <sheetData>
    <row r="1" customFormat="false" ht="19.5" hidden="false" customHeight="true" outlineLevel="0" collapsed="false">
      <c r="A1" s="2" t="s">
        <v>0</v>
      </c>
      <c r="B1" s="2"/>
      <c r="C1" s="2"/>
      <c r="D1" s="2"/>
      <c r="E1" s="2"/>
      <c r="F1" s="2"/>
      <c r="G1" s="2"/>
      <c r="H1" s="2"/>
    </row>
    <row r="2" customFormat="false" ht="12" hidden="false" customHeight="true" outlineLevel="0" collapsed="false">
      <c r="A2" s="3" t="s">
        <v>1</v>
      </c>
      <c r="B2" s="3"/>
      <c r="C2" s="3"/>
      <c r="D2" s="3"/>
      <c r="E2" s="3"/>
      <c r="F2" s="3"/>
      <c r="G2" s="3"/>
      <c r="H2" s="3"/>
    </row>
    <row r="4" customFormat="false" ht="15" hidden="false" customHeight="true" outlineLevel="0" collapsed="false">
      <c r="A4" s="4" t="s">
        <v>2</v>
      </c>
      <c r="B4" s="5" t="s">
        <v>3</v>
      </c>
      <c r="C4" s="6" t="s">
        <v>4</v>
      </c>
      <c r="D4" s="5" t="s">
        <v>5</v>
      </c>
      <c r="E4" s="5" t="s">
        <v>6</v>
      </c>
      <c r="F4" s="5" t="s">
        <v>7</v>
      </c>
      <c r="G4" s="5" t="s">
        <v>8</v>
      </c>
      <c r="H4" s="6" t="s">
        <v>9</v>
      </c>
    </row>
    <row r="5" customFormat="false" ht="14.25" hidden="false" customHeight="true" outlineLevel="0" collapsed="false">
      <c r="A5" s="7" t="s">
        <v>10</v>
      </c>
      <c r="B5" s="7"/>
      <c r="C5" s="7"/>
      <c r="D5" s="7"/>
      <c r="E5" s="7"/>
      <c r="F5" s="7"/>
      <c r="G5" s="7"/>
      <c r="H5" s="7"/>
    </row>
    <row r="6" customFormat="false" ht="15" hidden="false" customHeight="true" outlineLevel="0" collapsed="false">
      <c r="A6" s="8" t="n">
        <v>1</v>
      </c>
      <c r="B6" s="9" t="s">
        <v>11</v>
      </c>
      <c r="C6" s="10" t="s">
        <v>12</v>
      </c>
      <c r="D6" s="11" t="n">
        <v>46127</v>
      </c>
      <c r="E6" s="11" t="n">
        <v>46159</v>
      </c>
      <c r="F6" s="8" t="n">
        <f aca="false">E6-D6+1</f>
        <v>33</v>
      </c>
      <c r="G6" s="12" t="s">
        <v>13</v>
      </c>
      <c r="H6" s="10" t="s">
        <v>14</v>
      </c>
    </row>
    <row r="7" customFormat="false" ht="15" hidden="false" customHeight="true" outlineLevel="0" collapsed="false">
      <c r="A7" s="13" t="n">
        <v>2</v>
      </c>
      <c r="B7" s="14" t="s">
        <v>11</v>
      </c>
      <c r="C7" s="15" t="s">
        <v>15</v>
      </c>
      <c r="D7" s="16" t="n">
        <v>46162</v>
      </c>
      <c r="E7" s="16" t="n">
        <v>46165</v>
      </c>
      <c r="F7" s="13" t="n">
        <f aca="false">E7-D7+1</f>
        <v>4</v>
      </c>
      <c r="G7" s="17" t="s">
        <v>13</v>
      </c>
      <c r="H7" s="15" t="s">
        <v>16</v>
      </c>
    </row>
    <row r="8" customFormat="false" ht="15" hidden="false" customHeight="true" outlineLevel="0" collapsed="false">
      <c r="A8" s="8" t="n">
        <v>3</v>
      </c>
      <c r="B8" s="9" t="s">
        <v>11</v>
      </c>
      <c r="C8" s="10" t="s">
        <v>17</v>
      </c>
      <c r="D8" s="11" t="n">
        <v>46170</v>
      </c>
      <c r="E8" s="11" t="n">
        <v>46173</v>
      </c>
      <c r="F8" s="8" t="n">
        <f aca="false">E8-D8+1</f>
        <v>4</v>
      </c>
      <c r="G8" s="12" t="s">
        <v>18</v>
      </c>
      <c r="H8" s="10" t="s">
        <v>19</v>
      </c>
    </row>
    <row r="9" customFormat="false" ht="15" hidden="false" customHeight="true" outlineLevel="0" collapsed="false">
      <c r="A9" s="13" t="n">
        <v>4</v>
      </c>
      <c r="B9" s="14" t="s">
        <v>11</v>
      </c>
      <c r="C9" s="15" t="s">
        <v>20</v>
      </c>
      <c r="D9" s="16" t="n">
        <v>46176</v>
      </c>
      <c r="E9" s="16" t="n">
        <v>46185</v>
      </c>
      <c r="F9" s="13" t="n">
        <f aca="false">E9-D9+1</f>
        <v>10</v>
      </c>
      <c r="G9" s="17" t="s">
        <v>18</v>
      </c>
      <c r="H9" s="15" t="s">
        <v>21</v>
      </c>
    </row>
    <row r="10" customFormat="false" ht="15" hidden="false" customHeight="true" outlineLevel="0" collapsed="false">
      <c r="A10" s="13" t="n">
        <v>6</v>
      </c>
      <c r="B10" s="14" t="s">
        <v>11</v>
      </c>
      <c r="C10" s="15" t="s">
        <v>22</v>
      </c>
      <c r="D10" s="16" t="n">
        <v>46183</v>
      </c>
      <c r="E10" s="16" t="n">
        <v>46227</v>
      </c>
      <c r="F10" s="13" t="n">
        <f aca="false">E10-D10+1</f>
        <v>45</v>
      </c>
      <c r="G10" s="17" t="s">
        <v>23</v>
      </c>
      <c r="H10" s="15" t="s">
        <v>24</v>
      </c>
    </row>
    <row r="11" customFormat="false" ht="15" hidden="false" customHeight="true" outlineLevel="0" collapsed="false">
      <c r="A11" s="8" t="s">
        <v>25</v>
      </c>
      <c r="B11" s="9" t="s">
        <v>11</v>
      </c>
      <c r="C11" s="10" t="s">
        <v>26</v>
      </c>
      <c r="D11" s="11" t="n">
        <v>46186</v>
      </c>
      <c r="E11" s="11" t="n">
        <v>46191</v>
      </c>
      <c r="F11" s="8" t="n">
        <f aca="false">E11-D11+1</f>
        <v>6</v>
      </c>
      <c r="G11" s="12" t="s">
        <v>13</v>
      </c>
      <c r="H11" s="10" t="s">
        <v>27</v>
      </c>
    </row>
    <row r="12" customFormat="false" ht="15" hidden="false" customHeight="true" outlineLevel="0" collapsed="false">
      <c r="A12" s="13" t="n">
        <v>7</v>
      </c>
      <c r="B12" s="14" t="s">
        <v>11</v>
      </c>
      <c r="C12" s="15" t="s">
        <v>28</v>
      </c>
      <c r="D12" s="16" t="n">
        <v>46188</v>
      </c>
      <c r="E12" s="16" t="n">
        <v>46227</v>
      </c>
      <c r="F12" s="13" t="n">
        <f aca="false">E12-D12+1</f>
        <v>40</v>
      </c>
      <c r="G12" s="17" t="s">
        <v>29</v>
      </c>
      <c r="H12" s="15" t="s">
        <v>30</v>
      </c>
    </row>
    <row r="13" customFormat="false" ht="15" hidden="false" customHeight="true" outlineLevel="0" collapsed="false">
      <c r="A13" s="8" t="n">
        <v>8</v>
      </c>
      <c r="B13" s="9" t="s">
        <v>11</v>
      </c>
      <c r="C13" s="10" t="s">
        <v>31</v>
      </c>
      <c r="D13" s="11" t="n">
        <v>46218</v>
      </c>
      <c r="E13" s="11" t="n">
        <v>46227</v>
      </c>
      <c r="F13" s="8" t="n">
        <f aca="false">E13-D13+1</f>
        <v>10</v>
      </c>
      <c r="G13" s="12" t="s">
        <v>23</v>
      </c>
      <c r="H13" s="10" t="s">
        <v>32</v>
      </c>
    </row>
    <row r="14" customFormat="false" ht="15" hidden="false" customHeight="true" outlineLevel="0" collapsed="false">
      <c r="A14" s="13" t="n">
        <v>9</v>
      </c>
      <c r="B14" s="14" t="s">
        <v>11</v>
      </c>
      <c r="C14" s="15" t="s">
        <v>33</v>
      </c>
      <c r="D14" s="16" t="n">
        <v>46211</v>
      </c>
      <c r="E14" s="16" t="n">
        <v>46221</v>
      </c>
      <c r="F14" s="13" t="n">
        <f aca="false">E14-D14+1</f>
        <v>11</v>
      </c>
      <c r="G14" s="17" t="s">
        <v>13</v>
      </c>
      <c r="H14" s="15" t="s">
        <v>34</v>
      </c>
    </row>
    <row r="15" customFormat="false" ht="15" hidden="false" customHeight="true" outlineLevel="0" collapsed="false">
      <c r="A15" s="8" t="n">
        <v>10</v>
      </c>
      <c r="B15" s="9" t="s">
        <v>11</v>
      </c>
      <c r="C15" s="10" t="s">
        <v>35</v>
      </c>
      <c r="D15" s="11" t="n">
        <v>46218</v>
      </c>
      <c r="E15" s="11" t="n">
        <v>46223</v>
      </c>
      <c r="F15" s="8" t="n">
        <f aca="false">E15-D15+1</f>
        <v>6</v>
      </c>
      <c r="G15" s="12" t="s">
        <v>13</v>
      </c>
      <c r="H15" s="10" t="s">
        <v>36</v>
      </c>
    </row>
    <row r="16" customFormat="false" ht="15" hidden="false" customHeight="true" outlineLevel="0" collapsed="false">
      <c r="A16" s="8" t="s">
        <v>37</v>
      </c>
      <c r="B16" s="9" t="s">
        <v>11</v>
      </c>
      <c r="C16" s="10" t="s">
        <v>38</v>
      </c>
      <c r="D16" s="11" t="n">
        <v>46218</v>
      </c>
      <c r="E16" s="11" t="n">
        <v>46227</v>
      </c>
      <c r="F16" s="8" t="n">
        <f aca="false">E16-D16+1</f>
        <v>10</v>
      </c>
      <c r="G16" s="12" t="s">
        <v>18</v>
      </c>
      <c r="H16" s="10" t="s">
        <v>39</v>
      </c>
    </row>
    <row r="17" customFormat="false" ht="15" hidden="false" customHeight="true" outlineLevel="0" collapsed="false">
      <c r="A17" s="13" t="n">
        <v>11</v>
      </c>
      <c r="B17" s="14" t="s">
        <v>11</v>
      </c>
      <c r="C17" s="15" t="s">
        <v>40</v>
      </c>
      <c r="D17" s="16" t="n">
        <v>46223</v>
      </c>
      <c r="E17" s="16" t="n">
        <v>46228</v>
      </c>
      <c r="F17" s="13" t="n">
        <f aca="false">E17-D17+1</f>
        <v>6</v>
      </c>
      <c r="G17" s="17" t="s">
        <v>23</v>
      </c>
      <c r="H17" s="15" t="s">
        <v>41</v>
      </c>
    </row>
    <row r="18" customFormat="false" ht="14.25" hidden="false" customHeight="true" outlineLevel="0" collapsed="false">
      <c r="A18" s="13" t="s">
        <v>42</v>
      </c>
      <c r="B18" s="14" t="s">
        <v>11</v>
      </c>
      <c r="C18" s="15" t="s">
        <v>43</v>
      </c>
      <c r="D18" s="16" t="n">
        <v>46230</v>
      </c>
      <c r="E18" s="16" t="n">
        <v>46237</v>
      </c>
      <c r="F18" s="13" t="n">
        <f aca="false">E18-D18+1</f>
        <v>8</v>
      </c>
      <c r="G18" s="17" t="s">
        <v>44</v>
      </c>
      <c r="H18" s="15" t="s">
        <v>45</v>
      </c>
    </row>
    <row r="19" customFormat="false" ht="15" hidden="false" customHeight="true" outlineLevel="0" collapsed="false">
      <c r="A19" s="13" t="s">
        <v>46</v>
      </c>
      <c r="B19" s="14" t="s">
        <v>11</v>
      </c>
      <c r="C19" s="15" t="s">
        <v>47</v>
      </c>
      <c r="D19" s="16" t="n">
        <v>46228</v>
      </c>
      <c r="E19" s="16" t="n">
        <v>46228</v>
      </c>
      <c r="F19" s="13" t="n">
        <f aca="false">E19-D19+1</f>
        <v>1</v>
      </c>
      <c r="G19" s="17" t="s">
        <v>44</v>
      </c>
      <c r="H19" s="15" t="s">
        <v>48</v>
      </c>
    </row>
    <row r="20" customFormat="false" ht="15" hidden="false" customHeight="true" outlineLevel="0" collapsed="false">
      <c r="A20" s="13" t="s">
        <v>49</v>
      </c>
      <c r="B20" s="14" t="s">
        <v>11</v>
      </c>
      <c r="C20" s="15" t="s">
        <v>50</v>
      </c>
      <c r="D20" s="16" t="n">
        <v>46229</v>
      </c>
      <c r="E20" s="16" t="n">
        <v>46236</v>
      </c>
      <c r="F20" s="13" t="n">
        <f aca="false">E20-D20+1</f>
        <v>8</v>
      </c>
      <c r="G20" s="17" t="s">
        <v>44</v>
      </c>
      <c r="H20" s="15" t="s">
        <v>51</v>
      </c>
    </row>
    <row r="21" customFormat="false" ht="15" hidden="false" customHeight="true" outlineLevel="0" collapsed="false">
      <c r="A21" s="13" t="s">
        <v>52</v>
      </c>
      <c r="B21" s="14" t="s">
        <v>11</v>
      </c>
      <c r="C21" s="15" t="s">
        <v>53</v>
      </c>
      <c r="D21" s="16" t="n">
        <v>46230</v>
      </c>
      <c r="E21" s="16" t="n">
        <v>46232</v>
      </c>
      <c r="F21" s="13" t="n">
        <f aca="false">E21-D21+1</f>
        <v>3</v>
      </c>
      <c r="G21" s="17" t="s">
        <v>18</v>
      </c>
      <c r="H21" s="15" t="s">
        <v>54</v>
      </c>
    </row>
    <row r="22" customFormat="false" ht="15" hidden="false" customHeight="true" outlineLevel="0" collapsed="false">
      <c r="A22" s="13" t="s">
        <v>55</v>
      </c>
      <c r="B22" s="14" t="s">
        <v>11</v>
      </c>
      <c r="C22" s="15" t="s">
        <v>56</v>
      </c>
      <c r="D22" s="16" t="n">
        <v>46230</v>
      </c>
      <c r="E22" s="16" t="n">
        <v>46231</v>
      </c>
      <c r="F22" s="13" t="n">
        <f aca="false">E22-D22+1</f>
        <v>2</v>
      </c>
      <c r="G22" s="17" t="s">
        <v>57</v>
      </c>
      <c r="H22" s="15" t="s">
        <v>58</v>
      </c>
    </row>
    <row r="23" customFormat="false" ht="15" hidden="false" customHeight="true" outlineLevel="0" collapsed="false">
      <c r="A23" s="13" t="s">
        <v>59</v>
      </c>
      <c r="B23" s="14" t="s">
        <v>11</v>
      </c>
      <c r="C23" s="15" t="s">
        <v>60</v>
      </c>
      <c r="D23" s="16" t="n">
        <v>46241</v>
      </c>
      <c r="E23" s="16" t="n">
        <v>46264</v>
      </c>
      <c r="F23" s="13" t="n">
        <f aca="false">E23-D23+1</f>
        <v>24</v>
      </c>
      <c r="G23" s="17" t="s">
        <v>29</v>
      </c>
      <c r="H23" s="15" t="s">
        <v>61</v>
      </c>
    </row>
    <row r="24" customFormat="false" ht="15" hidden="false" customHeight="true" outlineLevel="0" collapsed="false">
      <c r="A24" s="18"/>
      <c r="B24" s="18"/>
      <c r="C24" s="18"/>
      <c r="D24" s="18"/>
      <c r="E24" s="18"/>
      <c r="F24" s="18"/>
      <c r="G24" s="18"/>
      <c r="H24" s="18"/>
    </row>
    <row r="25" customFormat="false" ht="15" hidden="false" customHeight="true" outlineLevel="0" collapsed="false">
      <c r="A25" s="19" t="s">
        <v>62</v>
      </c>
    </row>
    <row r="26" customFormat="false" ht="15" hidden="false" customHeight="true" outlineLevel="0" collapsed="false">
      <c r="A26" s="8" t="n">
        <v>13</v>
      </c>
      <c r="B26" s="9" t="s">
        <v>63</v>
      </c>
      <c r="C26" s="10" t="s">
        <v>64</v>
      </c>
      <c r="D26" s="11" t="n">
        <v>46160</v>
      </c>
      <c r="E26" s="11" t="n">
        <v>46165</v>
      </c>
      <c r="F26" s="8" t="n">
        <f aca="false">E26-D26+1</f>
        <v>6</v>
      </c>
      <c r="G26" s="12" t="s">
        <v>18</v>
      </c>
      <c r="H26" s="10" t="s">
        <v>65</v>
      </c>
    </row>
    <row r="27" customFormat="false" ht="15" hidden="false" customHeight="true" outlineLevel="0" collapsed="false">
      <c r="A27" s="13" t="n">
        <v>14</v>
      </c>
      <c r="B27" s="14" t="s">
        <v>63</v>
      </c>
      <c r="C27" s="15" t="s">
        <v>66</v>
      </c>
      <c r="D27" s="16" t="n">
        <v>46171</v>
      </c>
      <c r="E27" s="16" t="n">
        <v>46171</v>
      </c>
      <c r="F27" s="13" t="n">
        <f aca="false">E27-D27+1</f>
        <v>1</v>
      </c>
      <c r="G27" s="17" t="s">
        <v>18</v>
      </c>
      <c r="H27" s="15" t="s">
        <v>67</v>
      </c>
    </row>
    <row r="28" customFormat="false" ht="15" hidden="false" customHeight="true" outlineLevel="0" collapsed="false">
      <c r="A28" s="8" t="n">
        <v>15</v>
      </c>
      <c r="B28" s="9" t="s">
        <v>63</v>
      </c>
      <c r="C28" s="10" t="s">
        <v>68</v>
      </c>
      <c r="D28" s="11" t="n">
        <v>46176</v>
      </c>
      <c r="E28" s="11" t="n">
        <v>46185</v>
      </c>
      <c r="F28" s="8" t="n">
        <f aca="false">E28-D28+1</f>
        <v>10</v>
      </c>
      <c r="G28" s="12" t="s">
        <v>18</v>
      </c>
      <c r="H28" s="10" t="s">
        <v>69</v>
      </c>
    </row>
    <row r="29" customFormat="false" ht="14.25" hidden="false" customHeight="true" outlineLevel="0" collapsed="false">
      <c r="A29" s="13" t="n">
        <v>16</v>
      </c>
      <c r="B29" s="14" t="s">
        <v>63</v>
      </c>
      <c r="C29" s="15" t="s">
        <v>70</v>
      </c>
      <c r="D29" s="16" t="n">
        <v>46177</v>
      </c>
      <c r="E29" s="16" t="n">
        <v>46179</v>
      </c>
      <c r="F29" s="13" t="n">
        <f aca="false">E29-D29+1</f>
        <v>3</v>
      </c>
      <c r="G29" s="17" t="s">
        <v>71</v>
      </c>
      <c r="H29" s="15" t="s">
        <v>72</v>
      </c>
    </row>
    <row r="30" customFormat="false" ht="15" hidden="false" customHeight="true" outlineLevel="0" collapsed="false">
      <c r="A30" s="8" t="n">
        <v>17</v>
      </c>
      <c r="B30" s="9" t="s">
        <v>63</v>
      </c>
      <c r="C30" s="10" t="s">
        <v>73</v>
      </c>
      <c r="D30" s="11" t="n">
        <v>46183</v>
      </c>
      <c r="E30" s="11" t="n">
        <v>46187</v>
      </c>
      <c r="F30" s="8" t="n">
        <f aca="false">E30-D30+1</f>
        <v>5</v>
      </c>
      <c r="G30" s="12" t="s">
        <v>57</v>
      </c>
      <c r="H30" s="10" t="s">
        <v>74</v>
      </c>
    </row>
    <row r="31" customFormat="false" ht="15" hidden="false" customHeight="true" outlineLevel="0" collapsed="false">
      <c r="A31" s="13" t="n">
        <v>18</v>
      </c>
      <c r="B31" s="14" t="s">
        <v>63</v>
      </c>
      <c r="C31" s="15" t="s">
        <v>75</v>
      </c>
      <c r="D31" s="16" t="n">
        <v>46185</v>
      </c>
      <c r="E31" s="16" t="n">
        <v>46191</v>
      </c>
      <c r="F31" s="13" t="n">
        <f aca="false">E31-D31+1</f>
        <v>7</v>
      </c>
      <c r="G31" s="17" t="s">
        <v>57</v>
      </c>
      <c r="H31" s="15" t="s">
        <v>76</v>
      </c>
    </row>
    <row r="32" customFormat="false" ht="15" hidden="false" customHeight="true" outlineLevel="0" collapsed="false">
      <c r="A32" s="8" t="n">
        <v>19</v>
      </c>
      <c r="B32" s="9" t="s">
        <v>63</v>
      </c>
      <c r="C32" s="10" t="s">
        <v>77</v>
      </c>
      <c r="D32" s="11" t="n">
        <v>46201</v>
      </c>
      <c r="E32" s="11" t="n">
        <v>46213</v>
      </c>
      <c r="F32" s="8" t="n">
        <f aca="false">E32-D32+1</f>
        <v>13</v>
      </c>
      <c r="G32" s="12" t="s">
        <v>18</v>
      </c>
      <c r="H32" s="10" t="s">
        <v>78</v>
      </c>
    </row>
    <row r="33" customFormat="false" ht="15" hidden="false" customHeight="true" outlineLevel="0" collapsed="false">
      <c r="A33" s="13" t="n">
        <v>20</v>
      </c>
      <c r="B33" s="14" t="s">
        <v>63</v>
      </c>
      <c r="C33" s="15" t="s">
        <v>79</v>
      </c>
      <c r="D33" s="16" t="n">
        <v>46215</v>
      </c>
      <c r="E33" s="16" t="n">
        <v>46221</v>
      </c>
      <c r="F33" s="13" t="n">
        <f aca="false">E33-D33+1</f>
        <v>7</v>
      </c>
      <c r="G33" s="17" t="s">
        <v>80</v>
      </c>
      <c r="H33" s="15"/>
    </row>
    <row r="34" customFormat="false" ht="15" hidden="false" customHeight="true" outlineLevel="0" collapsed="false">
      <c r="A34" s="13" t="s">
        <v>81</v>
      </c>
      <c r="B34" s="14" t="s">
        <v>63</v>
      </c>
      <c r="C34" s="15" t="s">
        <v>82</v>
      </c>
      <c r="D34" s="16" t="n">
        <v>46231</v>
      </c>
      <c r="E34" s="16" t="n">
        <v>46232</v>
      </c>
      <c r="F34" s="13" t="n">
        <f aca="false">E34-D34+1</f>
        <v>2</v>
      </c>
      <c r="G34" s="17" t="s">
        <v>80</v>
      </c>
      <c r="H34" s="15" t="s">
        <v>83</v>
      </c>
    </row>
    <row r="35" customFormat="false" ht="15" hidden="false" customHeight="true" outlineLevel="0" collapsed="false">
      <c r="A35" s="20" t="n">
        <v>21</v>
      </c>
      <c r="B35" s="20"/>
      <c r="C35" s="20"/>
      <c r="D35" s="20"/>
      <c r="E35" s="20"/>
      <c r="F35" s="20"/>
      <c r="G35" s="20"/>
      <c r="H35" s="20"/>
    </row>
    <row r="36" customFormat="false" ht="15" hidden="false" customHeight="true" outlineLevel="0" collapsed="false">
      <c r="A36" s="18"/>
      <c r="B36" s="18"/>
      <c r="C36" s="18"/>
      <c r="D36" s="18"/>
      <c r="E36" s="18"/>
      <c r="F36" s="18"/>
      <c r="G36" s="18"/>
      <c r="H36" s="18"/>
    </row>
    <row r="37" customFormat="false" ht="15" hidden="false" customHeight="true" outlineLevel="0" collapsed="false">
      <c r="A37" s="19" t="s">
        <v>84</v>
      </c>
    </row>
    <row r="38" customFormat="false" ht="15" hidden="false" customHeight="true" outlineLevel="0" collapsed="false">
      <c r="A38" s="13" t="n">
        <v>23</v>
      </c>
      <c r="B38" s="14" t="s">
        <v>85</v>
      </c>
      <c r="C38" s="15" t="s">
        <v>86</v>
      </c>
      <c r="D38" s="16" t="n">
        <v>46143</v>
      </c>
      <c r="E38" s="16" t="n">
        <v>46170</v>
      </c>
      <c r="F38" s="13" t="n">
        <f aca="false">E38-D38+1</f>
        <v>28</v>
      </c>
      <c r="G38" s="17" t="s">
        <v>57</v>
      </c>
      <c r="H38" s="15" t="s">
        <v>87</v>
      </c>
    </row>
    <row r="39" customFormat="false" ht="15" hidden="false" customHeight="true" outlineLevel="0" collapsed="false">
      <c r="A39" s="8" t="n">
        <v>24</v>
      </c>
      <c r="B39" s="9" t="s">
        <v>85</v>
      </c>
      <c r="C39" s="10" t="s">
        <v>88</v>
      </c>
      <c r="D39" s="11" t="n">
        <v>46143</v>
      </c>
      <c r="E39" s="11" t="n">
        <v>46170</v>
      </c>
      <c r="F39" s="8" t="n">
        <f aca="false">E39-D39+1</f>
        <v>28</v>
      </c>
      <c r="G39" s="12" t="s">
        <v>89</v>
      </c>
      <c r="H39" s="10"/>
    </row>
    <row r="40" customFormat="false" ht="15" hidden="false" customHeight="true" outlineLevel="0" collapsed="false">
      <c r="A40" s="13" t="n">
        <v>25</v>
      </c>
      <c r="B40" s="14" t="s">
        <v>85</v>
      </c>
      <c r="C40" s="15" t="s">
        <v>90</v>
      </c>
      <c r="D40" s="16" t="n">
        <v>46171</v>
      </c>
      <c r="E40" s="16" t="n">
        <v>46171</v>
      </c>
      <c r="F40" s="13" t="n">
        <f aca="false">E40-D40+1</f>
        <v>1</v>
      </c>
      <c r="G40" s="17" t="s">
        <v>57</v>
      </c>
      <c r="H40" s="15" t="s">
        <v>91</v>
      </c>
    </row>
    <row r="41" customFormat="false" ht="15" hidden="false" customHeight="true" outlineLevel="0" collapsed="false">
      <c r="A41" s="8" t="n">
        <v>26</v>
      </c>
      <c r="B41" s="9" t="s">
        <v>85</v>
      </c>
      <c r="C41" s="10" t="s">
        <v>92</v>
      </c>
      <c r="D41" s="11" t="n">
        <v>46176</v>
      </c>
      <c r="E41" s="11" t="n">
        <v>46221</v>
      </c>
      <c r="F41" s="8" t="n">
        <f aca="false">E41-D41+1</f>
        <v>46</v>
      </c>
      <c r="G41" s="12" t="s">
        <v>18</v>
      </c>
      <c r="H41" s="10" t="s">
        <v>93</v>
      </c>
    </row>
    <row r="42" customFormat="false" ht="15" hidden="false" customHeight="true" outlineLevel="0" collapsed="false">
      <c r="A42" s="13" t="n">
        <v>27</v>
      </c>
      <c r="B42" s="14" t="s">
        <v>85</v>
      </c>
      <c r="C42" s="15" t="s">
        <v>94</v>
      </c>
      <c r="D42" s="16" t="n">
        <v>46181</v>
      </c>
      <c r="E42" s="16" t="n">
        <v>46191</v>
      </c>
      <c r="F42" s="13" t="n">
        <f aca="false">E42-D42+1</f>
        <v>11</v>
      </c>
      <c r="G42" s="17" t="s">
        <v>57</v>
      </c>
      <c r="H42" s="15" t="s">
        <v>95</v>
      </c>
    </row>
    <row r="43" customFormat="false" ht="14.25" hidden="false" customHeight="true" outlineLevel="0" collapsed="false">
      <c r="A43" s="8" t="n">
        <v>28</v>
      </c>
      <c r="B43" s="9" t="s">
        <v>85</v>
      </c>
      <c r="C43" s="10" t="s">
        <v>96</v>
      </c>
      <c r="D43" s="11" t="n">
        <v>46183</v>
      </c>
      <c r="E43" s="11" t="n">
        <v>46189</v>
      </c>
      <c r="F43" s="8" t="n">
        <f aca="false">E43-D43+1</f>
        <v>7</v>
      </c>
      <c r="G43" s="12" t="s">
        <v>57</v>
      </c>
      <c r="H43" s="10" t="s">
        <v>97</v>
      </c>
    </row>
    <row r="44" customFormat="false" ht="15" hidden="false" customHeight="true" outlineLevel="0" collapsed="false">
      <c r="A44" s="13" t="n">
        <v>29</v>
      </c>
      <c r="B44" s="14" t="s">
        <v>85</v>
      </c>
      <c r="C44" s="15" t="s">
        <v>98</v>
      </c>
      <c r="D44" s="16" t="n">
        <v>46187</v>
      </c>
      <c r="E44" s="16" t="n">
        <v>46201</v>
      </c>
      <c r="F44" s="13" t="n">
        <f aca="false">E44-D44+1</f>
        <v>15</v>
      </c>
      <c r="G44" s="17" t="s">
        <v>23</v>
      </c>
      <c r="H44" s="15" t="s">
        <v>99</v>
      </c>
    </row>
    <row r="45" customFormat="false" ht="15" hidden="false" customHeight="true" outlineLevel="0" collapsed="false">
      <c r="A45" s="8" t="n">
        <v>30</v>
      </c>
      <c r="B45" s="9" t="s">
        <v>85</v>
      </c>
      <c r="C45" s="10" t="s">
        <v>100</v>
      </c>
      <c r="D45" s="11" t="n">
        <v>46218</v>
      </c>
      <c r="E45" s="11" t="n">
        <v>46222</v>
      </c>
      <c r="F45" s="8" t="n">
        <f aca="false">E45-D45+1</f>
        <v>5</v>
      </c>
      <c r="G45" s="12" t="s">
        <v>23</v>
      </c>
      <c r="H45" s="10" t="s">
        <v>101</v>
      </c>
    </row>
    <row r="46" customFormat="false" ht="15" hidden="false" customHeight="true" outlineLevel="0" collapsed="false">
      <c r="A46" s="13" t="n">
        <v>31</v>
      </c>
      <c r="B46" s="14" t="s">
        <v>85</v>
      </c>
      <c r="C46" s="15" t="s">
        <v>102</v>
      </c>
      <c r="D46" s="16" t="n">
        <v>46218</v>
      </c>
      <c r="E46" s="16" t="n">
        <v>46227</v>
      </c>
      <c r="F46" s="13" t="n">
        <f aca="false">E46-D46+1</f>
        <v>10</v>
      </c>
      <c r="G46" s="17" t="s">
        <v>29</v>
      </c>
      <c r="H46" s="15" t="s">
        <v>103</v>
      </c>
    </row>
    <row r="47" customFormat="false" ht="15" hidden="false" customHeight="true" outlineLevel="0" collapsed="false">
      <c r="A47" s="8" t="n">
        <v>32</v>
      </c>
      <c r="B47" s="9" t="s">
        <v>85</v>
      </c>
      <c r="C47" s="10" t="s">
        <v>104</v>
      </c>
      <c r="D47" s="11" t="n">
        <v>46188</v>
      </c>
      <c r="E47" s="11" t="n">
        <v>46196</v>
      </c>
      <c r="F47" s="8" t="n">
        <f aca="false">E47-D47+1</f>
        <v>9</v>
      </c>
      <c r="G47" s="12" t="s">
        <v>57</v>
      </c>
      <c r="H47" s="10" t="s">
        <v>105</v>
      </c>
    </row>
    <row r="48" customFormat="false" ht="15" hidden="false" customHeight="true" outlineLevel="0" collapsed="false">
      <c r="A48" s="13" t="s">
        <v>106</v>
      </c>
      <c r="B48" s="14" t="s">
        <v>85</v>
      </c>
      <c r="C48" s="15" t="s">
        <v>107</v>
      </c>
      <c r="D48" s="16" t="n">
        <v>46209</v>
      </c>
      <c r="E48" s="16" t="n">
        <v>46216</v>
      </c>
      <c r="F48" s="13" t="n">
        <f aca="false">E48-D48+1</f>
        <v>8</v>
      </c>
      <c r="G48" s="17" t="s">
        <v>57</v>
      </c>
      <c r="H48" s="15" t="s">
        <v>108</v>
      </c>
    </row>
    <row r="49" customFormat="false" ht="15" hidden="false" customHeight="true" outlineLevel="0" collapsed="false">
      <c r="A49" s="8" t="n">
        <v>33</v>
      </c>
      <c r="B49" s="9" t="s">
        <v>85</v>
      </c>
      <c r="C49" s="10" t="s">
        <v>109</v>
      </c>
      <c r="D49" s="11" t="n">
        <v>46208</v>
      </c>
      <c r="E49" s="11" t="n">
        <v>46213</v>
      </c>
      <c r="F49" s="8" t="n">
        <f aca="false">E49-D49+1</f>
        <v>6</v>
      </c>
      <c r="G49" s="12" t="s">
        <v>23</v>
      </c>
      <c r="H49" s="10" t="s">
        <v>110</v>
      </c>
    </row>
    <row r="50" customFormat="false" ht="15" hidden="false" customHeight="true" outlineLevel="0" collapsed="false">
      <c r="A50" s="8" t="n">
        <v>35</v>
      </c>
      <c r="B50" s="9" t="s">
        <v>85</v>
      </c>
      <c r="C50" s="10" t="s">
        <v>111</v>
      </c>
      <c r="D50" s="11" t="n">
        <v>46216</v>
      </c>
      <c r="E50" s="11" t="n">
        <v>46225</v>
      </c>
      <c r="F50" s="8" t="n">
        <f aca="false">E50-D50+1</f>
        <v>10</v>
      </c>
      <c r="G50" s="12" t="s">
        <v>80</v>
      </c>
      <c r="H50" s="10" t="s">
        <v>112</v>
      </c>
    </row>
    <row r="51" customFormat="false" ht="15" hidden="false" customHeight="true" outlineLevel="0" collapsed="false">
      <c r="A51" s="13" t="n">
        <v>36</v>
      </c>
      <c r="B51" s="14" t="s">
        <v>85</v>
      </c>
      <c r="C51" s="15" t="s">
        <v>113</v>
      </c>
      <c r="D51" s="16" t="n">
        <v>46224</v>
      </c>
      <c r="E51" s="16" t="n">
        <v>46224</v>
      </c>
      <c r="F51" s="13" t="n">
        <f aca="false">E51-D51+1</f>
        <v>1</v>
      </c>
      <c r="G51" s="17" t="s">
        <v>23</v>
      </c>
      <c r="H51" s="15" t="s">
        <v>114</v>
      </c>
    </row>
    <row r="52" customFormat="false" ht="15" hidden="false" customHeight="true" outlineLevel="0" collapsed="false">
      <c r="A52" s="13" t="s">
        <v>115</v>
      </c>
      <c r="B52" s="14" t="s">
        <v>85</v>
      </c>
      <c r="C52" s="15" t="s">
        <v>116</v>
      </c>
      <c r="D52" s="16" t="n">
        <v>46217</v>
      </c>
      <c r="E52" s="16" t="n">
        <v>46222</v>
      </c>
      <c r="F52" s="13" t="n">
        <f aca="false">E52-D52+1</f>
        <v>6</v>
      </c>
      <c r="G52" s="17" t="s">
        <v>23</v>
      </c>
      <c r="H52" s="15" t="s">
        <v>117</v>
      </c>
    </row>
    <row r="53" customFormat="false" ht="15" hidden="false" customHeight="true" outlineLevel="0" collapsed="false">
      <c r="A53" s="8" t="s">
        <v>118</v>
      </c>
      <c r="B53" s="9" t="s">
        <v>85</v>
      </c>
      <c r="C53" s="10" t="s">
        <v>119</v>
      </c>
      <c r="D53" s="11" t="n">
        <v>46225</v>
      </c>
      <c r="E53" s="11" t="n">
        <v>46227</v>
      </c>
      <c r="F53" s="8" t="n">
        <f aca="false">E53-D53+1</f>
        <v>3</v>
      </c>
      <c r="G53" s="12" t="s">
        <v>57</v>
      </c>
      <c r="H53" s="10" t="s">
        <v>120</v>
      </c>
    </row>
    <row r="54" customFormat="false" ht="15" hidden="false" customHeight="true" outlineLevel="0" collapsed="false">
      <c r="A54" s="13" t="s">
        <v>121</v>
      </c>
      <c r="B54" s="14" t="s">
        <v>85</v>
      </c>
      <c r="C54" s="15" t="s">
        <v>122</v>
      </c>
      <c r="D54" s="16" t="n">
        <v>46225</v>
      </c>
      <c r="E54" s="16" t="n">
        <v>46239</v>
      </c>
      <c r="F54" s="13" t="n">
        <f aca="false">E54-D54+1</f>
        <v>15</v>
      </c>
      <c r="G54" s="17" t="s">
        <v>71</v>
      </c>
      <c r="H54" s="15" t="s">
        <v>123</v>
      </c>
    </row>
    <row r="55" customFormat="false" ht="15" hidden="false" customHeight="true" outlineLevel="0" collapsed="false">
      <c r="A55" s="8" t="s">
        <v>124</v>
      </c>
      <c r="B55" s="9" t="s">
        <v>85</v>
      </c>
      <c r="C55" s="10" t="s">
        <v>125</v>
      </c>
      <c r="D55" s="11" t="n">
        <v>46225</v>
      </c>
      <c r="E55" s="11" t="n">
        <v>46239</v>
      </c>
      <c r="F55" s="8" t="n">
        <f aca="false">E55-D55+1</f>
        <v>15</v>
      </c>
      <c r="G55" s="12" t="s">
        <v>71</v>
      </c>
      <c r="H55" s="10" t="s">
        <v>126</v>
      </c>
    </row>
    <row r="56" customFormat="false" ht="15" hidden="false" customHeight="true" outlineLevel="0" collapsed="false">
      <c r="A56" s="13" t="s">
        <v>127</v>
      </c>
      <c r="B56" s="14" t="s">
        <v>85</v>
      </c>
      <c r="C56" s="15" t="s">
        <v>128</v>
      </c>
      <c r="D56" s="16" t="n">
        <v>46225</v>
      </c>
      <c r="E56" s="16" t="n">
        <v>46239</v>
      </c>
      <c r="F56" s="13" t="n">
        <f aca="false">E56-D56+1</f>
        <v>15</v>
      </c>
      <c r="G56" s="17" t="s">
        <v>71</v>
      </c>
      <c r="H56" s="15" t="s">
        <v>129</v>
      </c>
    </row>
    <row r="57" customFormat="false" ht="15" hidden="false" customHeight="true" outlineLevel="0" collapsed="false">
      <c r="A57" s="8" t="s">
        <v>130</v>
      </c>
      <c r="B57" s="9" t="s">
        <v>85</v>
      </c>
      <c r="C57" s="10" t="s">
        <v>131</v>
      </c>
      <c r="D57" s="11" t="n">
        <v>46225</v>
      </c>
      <c r="E57" s="11" t="n">
        <v>46239</v>
      </c>
      <c r="F57" s="8" t="n">
        <f aca="false">E57-D57+1</f>
        <v>15</v>
      </c>
      <c r="G57" s="12" t="s">
        <v>57</v>
      </c>
      <c r="H57" s="10" t="s">
        <v>132</v>
      </c>
    </row>
    <row r="58" customFormat="false" ht="15" hidden="false" customHeight="true" outlineLevel="0" collapsed="false">
      <c r="A58" s="13" t="s">
        <v>133</v>
      </c>
      <c r="B58" s="14" t="s">
        <v>85</v>
      </c>
      <c r="C58" s="15" t="s">
        <v>134</v>
      </c>
      <c r="D58" s="16" t="n">
        <v>46225</v>
      </c>
      <c r="E58" s="16" t="n">
        <v>46235</v>
      </c>
      <c r="F58" s="13" t="n">
        <f aca="false">E58-D58+1</f>
        <v>11</v>
      </c>
      <c r="G58" s="17" t="s">
        <v>135</v>
      </c>
      <c r="H58" s="15" t="s">
        <v>136</v>
      </c>
    </row>
    <row r="59" customFormat="false" ht="15" hidden="false" customHeight="true" outlineLevel="0" collapsed="false">
      <c r="A59" s="13" t="s">
        <v>137</v>
      </c>
      <c r="B59" s="14" t="s">
        <v>85</v>
      </c>
      <c r="C59" s="15" t="s">
        <v>138</v>
      </c>
      <c r="D59" s="16" t="n">
        <v>46229</v>
      </c>
      <c r="E59" s="16" t="n">
        <v>46237</v>
      </c>
      <c r="F59" s="13" t="n">
        <f aca="false">E59-D59+1</f>
        <v>9</v>
      </c>
      <c r="G59" s="17" t="s">
        <v>71</v>
      </c>
      <c r="H59" s="15" t="s">
        <v>139</v>
      </c>
    </row>
    <row r="60" customFormat="false" ht="15" hidden="false" customHeight="true" outlineLevel="0" collapsed="false">
      <c r="A60" s="13" t="s">
        <v>140</v>
      </c>
      <c r="B60" s="14" t="s">
        <v>85</v>
      </c>
      <c r="C60" s="15" t="s">
        <v>141</v>
      </c>
      <c r="D60" s="16" t="n">
        <v>46229</v>
      </c>
      <c r="E60" s="16" t="n">
        <v>46232</v>
      </c>
      <c r="F60" s="13" t="n">
        <f aca="false">E60-D60+1</f>
        <v>4</v>
      </c>
      <c r="G60" s="17" t="s">
        <v>29</v>
      </c>
      <c r="H60" s="15" t="s">
        <v>142</v>
      </c>
    </row>
    <row r="61" customFormat="false" ht="15" hidden="false" customHeight="true" outlineLevel="0" collapsed="false">
      <c r="A61" s="13" t="s">
        <v>143</v>
      </c>
      <c r="B61" s="14" t="s">
        <v>85</v>
      </c>
      <c r="C61" s="15" t="s">
        <v>144</v>
      </c>
      <c r="D61" s="16" t="n">
        <v>46229</v>
      </c>
      <c r="E61" s="16" t="n">
        <v>46233</v>
      </c>
      <c r="F61" s="13" t="n">
        <f aca="false">E61-D61+1</f>
        <v>5</v>
      </c>
      <c r="G61" s="17" t="s">
        <v>18</v>
      </c>
      <c r="H61" s="15" t="s">
        <v>145</v>
      </c>
    </row>
    <row r="62" customFormat="false" ht="15" hidden="false" customHeight="true" outlineLevel="0" collapsed="false">
      <c r="A62" s="13" t="s">
        <v>146</v>
      </c>
      <c r="B62" s="14" t="s">
        <v>85</v>
      </c>
      <c r="C62" s="15" t="s">
        <v>147</v>
      </c>
      <c r="D62" s="16" t="n">
        <v>46236</v>
      </c>
      <c r="E62" s="16" t="n">
        <v>46237</v>
      </c>
      <c r="F62" s="13" t="n">
        <f aca="false">E62-D62+1</f>
        <v>2</v>
      </c>
      <c r="G62" s="17" t="s">
        <v>80</v>
      </c>
      <c r="H62" s="15" t="s">
        <v>148</v>
      </c>
    </row>
    <row r="63" customFormat="false" ht="15" hidden="false" customHeight="true" outlineLevel="0" collapsed="false">
      <c r="A63" s="13" t="s">
        <v>149</v>
      </c>
      <c r="B63" s="14" t="s">
        <v>85</v>
      </c>
      <c r="C63" s="15" t="s">
        <v>150</v>
      </c>
      <c r="D63" s="16" t="n">
        <v>46234</v>
      </c>
      <c r="E63" s="16" t="n">
        <v>46234</v>
      </c>
      <c r="F63" s="13" t="n">
        <f aca="false">E63-D63+1</f>
        <v>1</v>
      </c>
      <c r="G63" s="17" t="s">
        <v>135</v>
      </c>
      <c r="H63" s="15" t="s">
        <v>151</v>
      </c>
    </row>
    <row r="64" customFormat="false" ht="15" hidden="false" customHeight="true" outlineLevel="0" collapsed="false">
      <c r="A64" s="13" t="s">
        <v>152</v>
      </c>
      <c r="B64" s="14" t="s">
        <v>85</v>
      </c>
      <c r="C64" s="15" t="s">
        <v>153</v>
      </c>
      <c r="D64" s="16" t="n">
        <v>46233</v>
      </c>
      <c r="E64" s="16" t="n">
        <v>46233</v>
      </c>
      <c r="F64" s="13" t="n">
        <f aca="false">E64-D64+1</f>
        <v>1</v>
      </c>
      <c r="G64" s="17" t="s">
        <v>18</v>
      </c>
      <c r="H64" s="15" t="s">
        <v>154</v>
      </c>
    </row>
    <row r="65" customFormat="false" ht="15" hidden="false" customHeight="true" outlineLevel="0" collapsed="false">
      <c r="A65" s="20" t="n">
        <v>37</v>
      </c>
      <c r="B65" s="20"/>
      <c r="C65" s="20"/>
      <c r="D65" s="20"/>
      <c r="E65" s="20"/>
      <c r="F65" s="20"/>
      <c r="G65" s="20"/>
      <c r="H65" s="20"/>
    </row>
    <row r="66" customFormat="false" ht="15" hidden="false" customHeight="true" outlineLevel="0" collapsed="false">
      <c r="A66" s="18"/>
      <c r="B66" s="18"/>
      <c r="C66" s="18"/>
      <c r="D66" s="18"/>
      <c r="E66" s="18"/>
      <c r="F66" s="18"/>
      <c r="G66" s="18"/>
      <c r="H66" s="18"/>
    </row>
    <row r="67" customFormat="false" ht="15" hidden="false" customHeight="true" outlineLevel="0" collapsed="false">
      <c r="A67" s="19" t="s">
        <v>155</v>
      </c>
    </row>
    <row r="68" customFormat="false" ht="15" hidden="false" customHeight="true" outlineLevel="0" collapsed="false">
      <c r="A68" s="13" t="s">
        <v>156</v>
      </c>
      <c r="B68" s="14" t="s">
        <v>157</v>
      </c>
      <c r="C68" s="15" t="s">
        <v>158</v>
      </c>
      <c r="D68" s="16" t="n">
        <v>46193</v>
      </c>
      <c r="E68" s="16" t="n">
        <v>46204</v>
      </c>
      <c r="F68" s="13" t="n">
        <f aca="false">E68-D68+1</f>
        <v>12</v>
      </c>
      <c r="G68" s="17" t="s">
        <v>18</v>
      </c>
      <c r="H68" s="15" t="s">
        <v>159</v>
      </c>
    </row>
    <row r="69" customFormat="false" ht="15" hidden="false" customHeight="true" outlineLevel="0" collapsed="false">
      <c r="A69" s="8" t="s">
        <v>160</v>
      </c>
      <c r="B69" s="9" t="s">
        <v>157</v>
      </c>
      <c r="C69" s="10" t="s">
        <v>161</v>
      </c>
      <c r="D69" s="11" t="n">
        <v>46207</v>
      </c>
      <c r="E69" s="11" t="n">
        <v>46208</v>
      </c>
      <c r="F69" s="8" t="n">
        <f aca="false">E69-D69+1</f>
        <v>2</v>
      </c>
      <c r="G69" s="12" t="s">
        <v>18</v>
      </c>
      <c r="H69" s="10" t="s">
        <v>162</v>
      </c>
    </row>
    <row r="70" customFormat="false" ht="15" hidden="false" customHeight="true" outlineLevel="0" collapsed="false">
      <c r="A70" s="13" t="s">
        <v>163</v>
      </c>
      <c r="B70" s="14" t="s">
        <v>157</v>
      </c>
      <c r="C70" s="15" t="s">
        <v>164</v>
      </c>
      <c r="D70" s="16" t="n">
        <v>46206</v>
      </c>
      <c r="E70" s="16" t="n">
        <v>46206</v>
      </c>
      <c r="F70" s="13" t="n">
        <f aca="false">E70-D70+1</f>
        <v>1</v>
      </c>
      <c r="G70" s="17" t="s">
        <v>23</v>
      </c>
      <c r="H70" s="15" t="s">
        <v>165</v>
      </c>
    </row>
    <row r="71" customFormat="false" ht="15" hidden="false" customHeight="true" outlineLevel="0" collapsed="false">
      <c r="A71" s="8" t="s">
        <v>166</v>
      </c>
      <c r="B71" s="9" t="s">
        <v>157</v>
      </c>
      <c r="C71" s="10" t="s">
        <v>167</v>
      </c>
      <c r="D71" s="11" t="n">
        <v>46207</v>
      </c>
      <c r="E71" s="11" t="n">
        <v>46219</v>
      </c>
      <c r="F71" s="8" t="n">
        <f aca="false">E71-D71+1</f>
        <v>13</v>
      </c>
      <c r="G71" s="12" t="s">
        <v>23</v>
      </c>
      <c r="H71" s="10" t="s">
        <v>168</v>
      </c>
    </row>
    <row r="72" customFormat="false" ht="15" hidden="false" customHeight="true" outlineLevel="0" collapsed="false">
      <c r="A72" s="13" t="s">
        <v>169</v>
      </c>
      <c r="B72" s="14" t="s">
        <v>157</v>
      </c>
      <c r="C72" s="15" t="s">
        <v>170</v>
      </c>
      <c r="D72" s="16" t="n">
        <v>46211</v>
      </c>
      <c r="E72" s="16" t="n">
        <v>46219</v>
      </c>
      <c r="F72" s="13" t="n">
        <f aca="false">E72-D72+1</f>
        <v>9</v>
      </c>
      <c r="G72" s="17" t="s">
        <v>57</v>
      </c>
      <c r="H72" s="15" t="s">
        <v>171</v>
      </c>
    </row>
    <row r="73" customFormat="false" ht="15" hidden="false" customHeight="true" outlineLevel="0" collapsed="false">
      <c r="A73" s="8" t="s">
        <v>172</v>
      </c>
      <c r="B73" s="9" t="s">
        <v>157</v>
      </c>
      <c r="C73" s="10" t="s">
        <v>173</v>
      </c>
      <c r="D73" s="11" t="n">
        <v>46210</v>
      </c>
      <c r="E73" s="11" t="n">
        <v>46219</v>
      </c>
      <c r="F73" s="8" t="n">
        <f aca="false">E73-D73+1</f>
        <v>10</v>
      </c>
      <c r="G73" s="12" t="s">
        <v>18</v>
      </c>
      <c r="H73" s="10" t="s">
        <v>174</v>
      </c>
    </row>
    <row r="74" customFormat="false" ht="15" hidden="false" customHeight="true" outlineLevel="0" collapsed="false">
      <c r="A74" s="8" t="s">
        <v>175</v>
      </c>
      <c r="B74" s="9" t="s">
        <v>157</v>
      </c>
      <c r="C74" s="10" t="s">
        <v>176</v>
      </c>
      <c r="D74" s="11" t="n">
        <v>46228</v>
      </c>
      <c r="E74" s="11" t="n">
        <v>46228</v>
      </c>
      <c r="F74" s="8" t="n">
        <f aca="false">E74-D74+1</f>
        <v>1</v>
      </c>
      <c r="G74" s="12" t="s">
        <v>57</v>
      </c>
      <c r="H74" s="10" t="s">
        <v>177</v>
      </c>
    </row>
    <row r="75" customFormat="false" ht="12" hidden="false" customHeight="true" outlineLevel="0" collapsed="false">
      <c r="A75" s="20" t="s">
        <v>178</v>
      </c>
      <c r="B75" s="20"/>
      <c r="C75" s="20"/>
      <c r="D75" s="20"/>
      <c r="E75" s="20"/>
      <c r="F75" s="20"/>
      <c r="G75" s="20"/>
      <c r="H75" s="20"/>
    </row>
    <row r="76" customFormat="false" ht="15" hidden="false" customHeight="true" outlineLevel="0" collapsed="false">
      <c r="A76" s="18"/>
      <c r="B76" s="18"/>
      <c r="C76" s="18"/>
      <c r="D76" s="18"/>
      <c r="E76" s="18"/>
      <c r="F76" s="18"/>
      <c r="G76" s="18"/>
      <c r="H76" s="18"/>
    </row>
    <row r="77" customFormat="false" ht="15" hidden="false" customHeight="true" outlineLevel="0" collapsed="false">
      <c r="A77" s="19" t="s">
        <v>179</v>
      </c>
    </row>
    <row r="78" customFormat="false" ht="15" hidden="false" customHeight="true" outlineLevel="0" collapsed="false">
      <c r="A78" s="13" t="n">
        <v>39</v>
      </c>
      <c r="B78" s="14" t="s">
        <v>180</v>
      </c>
      <c r="C78" s="15" t="s">
        <v>181</v>
      </c>
      <c r="D78" s="16" t="n">
        <v>46171</v>
      </c>
      <c r="E78" s="16" t="n">
        <v>46171</v>
      </c>
      <c r="F78" s="13" t="n">
        <f aca="false">E78-D78+1</f>
        <v>1</v>
      </c>
      <c r="G78" s="17" t="s">
        <v>23</v>
      </c>
      <c r="H78" s="15" t="s">
        <v>182</v>
      </c>
    </row>
    <row r="79" customFormat="false" ht="15" hidden="false" customHeight="true" outlineLevel="0" collapsed="false">
      <c r="A79" s="8" t="n">
        <v>40</v>
      </c>
      <c r="B79" s="9" t="s">
        <v>180</v>
      </c>
      <c r="C79" s="10" t="s">
        <v>183</v>
      </c>
      <c r="D79" s="11" t="n">
        <v>46174</v>
      </c>
      <c r="E79" s="11" t="n">
        <v>46218</v>
      </c>
      <c r="F79" s="8" t="n">
        <f aca="false">E79-D79+1</f>
        <v>45</v>
      </c>
      <c r="G79" s="12" t="s">
        <v>23</v>
      </c>
      <c r="H79" s="10" t="s">
        <v>184</v>
      </c>
    </row>
    <row r="80" customFormat="false" ht="15" hidden="false" customHeight="true" outlineLevel="0" collapsed="false">
      <c r="A80" s="13" t="n">
        <v>41</v>
      </c>
      <c r="B80" s="14" t="s">
        <v>180</v>
      </c>
      <c r="C80" s="15" t="s">
        <v>185</v>
      </c>
      <c r="D80" s="16" t="n">
        <v>46176</v>
      </c>
      <c r="E80" s="16" t="n">
        <v>46183</v>
      </c>
      <c r="F80" s="13" t="n">
        <f aca="false">E80-D80+1</f>
        <v>8</v>
      </c>
      <c r="G80" s="17" t="s">
        <v>186</v>
      </c>
      <c r="H80" s="15" t="s">
        <v>187</v>
      </c>
    </row>
    <row r="81" customFormat="false" ht="15" hidden="false" customHeight="true" outlineLevel="0" collapsed="false">
      <c r="A81" s="13" t="s">
        <v>188</v>
      </c>
      <c r="B81" s="14" t="s">
        <v>180</v>
      </c>
      <c r="C81" s="15" t="s">
        <v>189</v>
      </c>
      <c r="D81" s="16" t="n">
        <v>46220</v>
      </c>
      <c r="E81" s="16" t="n">
        <v>46222</v>
      </c>
      <c r="F81" s="13" t="n">
        <f aca="false">E81-D81+1</f>
        <v>3</v>
      </c>
      <c r="G81" s="17" t="s">
        <v>186</v>
      </c>
      <c r="H81" s="15" t="s">
        <v>190</v>
      </c>
    </row>
    <row r="82" customFormat="false" ht="15" hidden="false" customHeight="true" outlineLevel="0" collapsed="false">
      <c r="A82" s="8" t="n">
        <v>42</v>
      </c>
      <c r="B82" s="9" t="s">
        <v>180</v>
      </c>
      <c r="C82" s="10" t="s">
        <v>191</v>
      </c>
      <c r="D82" s="11" t="n">
        <v>46217</v>
      </c>
      <c r="E82" s="11" t="n">
        <v>46220</v>
      </c>
      <c r="F82" s="8" t="n">
        <f aca="false">E82-D82+1</f>
        <v>4</v>
      </c>
      <c r="G82" s="12" t="s">
        <v>186</v>
      </c>
      <c r="H82" s="10" t="s">
        <v>192</v>
      </c>
    </row>
    <row r="83" customFormat="false" ht="15" hidden="false" customHeight="true" outlineLevel="0" collapsed="false">
      <c r="A83" s="8" t="s">
        <v>193</v>
      </c>
      <c r="B83" s="9" t="s">
        <v>180</v>
      </c>
      <c r="C83" s="10" t="s">
        <v>194</v>
      </c>
      <c r="D83" s="11" t="n">
        <v>46227</v>
      </c>
      <c r="E83" s="11" t="n">
        <v>46227</v>
      </c>
      <c r="F83" s="8" t="n">
        <f aca="false">E83-D83+1</f>
        <v>1</v>
      </c>
      <c r="G83" s="12" t="s">
        <v>186</v>
      </c>
      <c r="H83" s="10" t="s">
        <v>195</v>
      </c>
    </row>
    <row r="84" customFormat="false" ht="15" hidden="false" customHeight="true" outlineLevel="0" collapsed="false">
      <c r="A84" s="13" t="n">
        <v>43</v>
      </c>
      <c r="B84" s="14" t="s">
        <v>180</v>
      </c>
      <c r="C84" s="15" t="s">
        <v>196</v>
      </c>
      <c r="D84" s="16" t="n">
        <v>46185</v>
      </c>
      <c r="E84" s="16" t="n">
        <v>46185</v>
      </c>
      <c r="F84" s="13" t="n">
        <f aca="false">E84-D84+1</f>
        <v>1</v>
      </c>
      <c r="G84" s="17" t="s">
        <v>186</v>
      </c>
      <c r="H84" s="15" t="s">
        <v>197</v>
      </c>
    </row>
    <row r="85" customFormat="false" ht="15" hidden="false" customHeight="true" outlineLevel="0" collapsed="false">
      <c r="A85" s="8" t="n">
        <v>44</v>
      </c>
      <c r="B85" s="9" t="s">
        <v>180</v>
      </c>
      <c r="C85" s="10" t="s">
        <v>198</v>
      </c>
      <c r="D85" s="11" t="n">
        <v>46217</v>
      </c>
      <c r="E85" s="11" t="n">
        <v>46222</v>
      </c>
      <c r="F85" s="8" t="n">
        <f aca="false">E85-D85+1</f>
        <v>6</v>
      </c>
      <c r="G85" s="12" t="s">
        <v>23</v>
      </c>
      <c r="H85" s="10" t="s">
        <v>199</v>
      </c>
    </row>
    <row r="86" customFormat="false" ht="15" hidden="false" customHeight="true" outlineLevel="0" collapsed="false">
      <c r="A86" s="13" t="s">
        <v>200</v>
      </c>
      <c r="B86" s="14" t="s">
        <v>180</v>
      </c>
      <c r="C86" s="15" t="s">
        <v>201</v>
      </c>
      <c r="D86" s="16" t="n">
        <v>46210</v>
      </c>
      <c r="E86" s="16" t="n">
        <v>46210</v>
      </c>
      <c r="F86" s="13" t="n">
        <f aca="false">E86-D86+1</f>
        <v>1</v>
      </c>
      <c r="G86" s="17" t="s">
        <v>23</v>
      </c>
      <c r="H86" s="15" t="s">
        <v>202</v>
      </c>
    </row>
    <row r="87" customFormat="false" ht="15" hidden="false" customHeight="true" outlineLevel="0" collapsed="false">
      <c r="A87" s="13" t="n">
        <v>46</v>
      </c>
      <c r="B87" s="14" t="s">
        <v>180</v>
      </c>
      <c r="C87" s="15" t="s">
        <v>203</v>
      </c>
      <c r="D87" s="16" t="n">
        <v>46217</v>
      </c>
      <c r="E87" s="16" t="n">
        <v>46224</v>
      </c>
      <c r="F87" s="13" t="n">
        <f aca="false">E87-D87+1</f>
        <v>8</v>
      </c>
      <c r="G87" s="17" t="s">
        <v>18</v>
      </c>
      <c r="H87" s="15" t="s">
        <v>204</v>
      </c>
    </row>
    <row r="88" customFormat="false" ht="15" hidden="false" customHeight="true" outlineLevel="0" collapsed="false">
      <c r="A88" s="8" t="s">
        <v>205</v>
      </c>
      <c r="B88" s="9" t="s">
        <v>180</v>
      </c>
      <c r="C88" s="10" t="s">
        <v>206</v>
      </c>
      <c r="D88" s="11" t="n">
        <v>46209</v>
      </c>
      <c r="E88" s="11" t="n">
        <v>46229</v>
      </c>
      <c r="F88" s="8" t="n">
        <f aca="false">E88-D88+1</f>
        <v>21</v>
      </c>
      <c r="G88" s="12" t="s">
        <v>18</v>
      </c>
      <c r="H88" s="10" t="s">
        <v>207</v>
      </c>
    </row>
    <row r="89" customFormat="false" ht="12" hidden="false" customHeight="true" outlineLevel="0" collapsed="false">
      <c r="A89" s="13" t="s">
        <v>208</v>
      </c>
      <c r="B89" s="14" t="s">
        <v>180</v>
      </c>
      <c r="C89" s="15" t="s">
        <v>209</v>
      </c>
      <c r="D89" s="16" t="n">
        <v>46211</v>
      </c>
      <c r="E89" s="16" t="n">
        <v>46237</v>
      </c>
      <c r="F89" s="13" t="n">
        <f aca="false">E89-D89+1</f>
        <v>27</v>
      </c>
      <c r="G89" s="17" t="s">
        <v>57</v>
      </c>
      <c r="H89" s="15" t="s">
        <v>210</v>
      </c>
    </row>
    <row r="90" customFormat="false" ht="12" hidden="false" customHeight="true" outlineLevel="0" collapsed="false">
      <c r="A90" s="13" t="s">
        <v>211</v>
      </c>
      <c r="B90" s="14" t="s">
        <v>180</v>
      </c>
      <c r="C90" s="15" t="s">
        <v>212</v>
      </c>
      <c r="D90" s="16" t="n">
        <v>46229</v>
      </c>
      <c r="E90" s="16" t="n">
        <v>46232</v>
      </c>
      <c r="F90" s="13" t="n">
        <f aca="false">E90-D90+1</f>
        <v>4</v>
      </c>
      <c r="G90" s="17" t="s">
        <v>29</v>
      </c>
      <c r="H90" s="15" t="s">
        <v>213</v>
      </c>
    </row>
    <row r="91" customFormat="false" ht="15" hidden="false" customHeight="true" outlineLevel="0" collapsed="false">
      <c r="A91" s="13" t="s">
        <v>214</v>
      </c>
      <c r="B91" s="14" t="s">
        <v>180</v>
      </c>
      <c r="C91" s="15" t="s">
        <v>215</v>
      </c>
      <c r="D91" s="16" t="n">
        <v>46232</v>
      </c>
      <c r="E91" s="16" t="n">
        <v>46232</v>
      </c>
      <c r="F91" s="13" t="n">
        <f aca="false">E91-D91+1</f>
        <v>1</v>
      </c>
      <c r="G91" s="17" t="s">
        <v>57</v>
      </c>
      <c r="H91" s="15" t="s">
        <v>216</v>
      </c>
    </row>
    <row r="92" customFormat="false" ht="15" hidden="false" customHeight="true" outlineLevel="0" collapsed="false">
      <c r="A92" s="13" t="s">
        <v>217</v>
      </c>
      <c r="B92" s="14" t="s">
        <v>180</v>
      </c>
      <c r="C92" s="15" t="s">
        <v>218</v>
      </c>
      <c r="D92" s="16" t="n">
        <v>46231</v>
      </c>
      <c r="E92" s="16" t="n">
        <v>46237</v>
      </c>
      <c r="F92" s="13" t="n">
        <f aca="false">E92-D92+1</f>
        <v>7</v>
      </c>
      <c r="G92" s="17" t="s">
        <v>186</v>
      </c>
      <c r="H92" s="15" t="s">
        <v>219</v>
      </c>
    </row>
    <row r="93" customFormat="false" ht="15" hidden="false" customHeight="true" outlineLevel="0" collapsed="false">
      <c r="A93" s="13" t="s">
        <v>220</v>
      </c>
      <c r="B93" s="14" t="s">
        <v>180</v>
      </c>
      <c r="C93" s="15" t="s">
        <v>221</v>
      </c>
      <c r="D93" s="16" t="n">
        <v>46211</v>
      </c>
      <c r="E93" s="16" t="n">
        <v>46235</v>
      </c>
      <c r="F93" s="13" t="n">
        <f aca="false">E93-D93+1</f>
        <v>25</v>
      </c>
      <c r="G93" s="17" t="s">
        <v>135</v>
      </c>
      <c r="H93" s="15" t="s">
        <v>222</v>
      </c>
    </row>
    <row r="94" customFormat="false" ht="15" hidden="false" customHeight="true" outlineLevel="0" collapsed="false">
      <c r="A94" s="13" t="s">
        <v>223</v>
      </c>
      <c r="B94" s="14" t="s">
        <v>180</v>
      </c>
      <c r="C94" s="15" t="s">
        <v>224</v>
      </c>
      <c r="D94" s="16" t="n">
        <v>46229</v>
      </c>
      <c r="E94" s="16" t="n">
        <v>46233</v>
      </c>
      <c r="F94" s="13" t="n">
        <f aca="false">E94-D94+1</f>
        <v>5</v>
      </c>
      <c r="G94" s="17" t="s">
        <v>57</v>
      </c>
      <c r="H94" s="15" t="s">
        <v>225</v>
      </c>
    </row>
    <row r="95" customFormat="false" ht="15" hidden="false" customHeight="true" outlineLevel="0" collapsed="false">
      <c r="A95" s="13" t="s">
        <v>226</v>
      </c>
      <c r="B95" s="14" t="s">
        <v>180</v>
      </c>
      <c r="C95" s="15" t="s">
        <v>227</v>
      </c>
      <c r="D95" s="16" t="n">
        <v>46228</v>
      </c>
      <c r="E95" s="16" t="n">
        <v>46228</v>
      </c>
      <c r="F95" s="13" t="n">
        <f aca="false">E95-D95+1</f>
        <v>1</v>
      </c>
      <c r="G95" s="17" t="s">
        <v>186</v>
      </c>
      <c r="H95" s="15" t="s">
        <v>228</v>
      </c>
    </row>
    <row r="96" customFormat="false" ht="15" hidden="false" customHeight="true" outlineLevel="0" collapsed="false">
      <c r="A96" s="13" t="s">
        <v>229</v>
      </c>
      <c r="B96" s="14" t="s">
        <v>180</v>
      </c>
      <c r="C96" s="15" t="s">
        <v>230</v>
      </c>
      <c r="D96" s="16" t="n">
        <v>46229</v>
      </c>
      <c r="E96" s="16" t="n">
        <v>46230</v>
      </c>
      <c r="F96" s="13" t="n">
        <f aca="false">E96-D96+1</f>
        <v>2</v>
      </c>
      <c r="G96" s="17" t="s">
        <v>57</v>
      </c>
      <c r="H96" s="15" t="s">
        <v>231</v>
      </c>
    </row>
    <row r="97" customFormat="false" ht="15" hidden="false" customHeight="true" outlineLevel="0" collapsed="false">
      <c r="A97" s="13" t="s">
        <v>232</v>
      </c>
      <c r="B97" s="14" t="s">
        <v>180</v>
      </c>
      <c r="C97" s="15" t="s">
        <v>233</v>
      </c>
      <c r="D97" s="16" t="n">
        <v>46229</v>
      </c>
      <c r="E97" s="16" t="n">
        <v>46230</v>
      </c>
      <c r="F97" s="13" t="n">
        <f aca="false">E97-D97+1</f>
        <v>2</v>
      </c>
      <c r="G97" s="17" t="s">
        <v>13</v>
      </c>
      <c r="H97" s="15" t="s">
        <v>234</v>
      </c>
    </row>
    <row r="98" customFormat="false" ht="15" hidden="false" customHeight="true" outlineLevel="0" collapsed="false">
      <c r="A98" s="8" t="n">
        <v>47</v>
      </c>
      <c r="B98" s="9" t="s">
        <v>180</v>
      </c>
      <c r="C98" s="10" t="s">
        <v>235</v>
      </c>
      <c r="D98" s="11" t="n">
        <v>46216</v>
      </c>
      <c r="E98" s="11" t="n">
        <v>46219</v>
      </c>
      <c r="F98" s="8" t="n">
        <f aca="false">E98-D98+1</f>
        <v>4</v>
      </c>
      <c r="G98" s="12" t="s">
        <v>18</v>
      </c>
      <c r="H98" s="10" t="s">
        <v>236</v>
      </c>
    </row>
    <row r="99" customFormat="false" ht="15" hidden="false" customHeight="true" outlineLevel="0" collapsed="false">
      <c r="A99" s="13" t="s">
        <v>237</v>
      </c>
      <c r="B99" s="14" t="s">
        <v>180</v>
      </c>
      <c r="C99" s="15" t="s">
        <v>238</v>
      </c>
      <c r="D99" s="16" t="n">
        <v>46216</v>
      </c>
      <c r="E99" s="16" t="n">
        <v>46223</v>
      </c>
      <c r="F99" s="13" t="n">
        <f aca="false">E99-D99+1</f>
        <v>8</v>
      </c>
      <c r="G99" s="17" t="s">
        <v>44</v>
      </c>
      <c r="H99" s="15" t="s">
        <v>239</v>
      </c>
    </row>
    <row r="100" customFormat="false" ht="15" hidden="false" customHeight="true" outlineLevel="0" collapsed="false">
      <c r="A100" s="13" t="s">
        <v>240</v>
      </c>
      <c r="B100" s="14" t="s">
        <v>180</v>
      </c>
      <c r="C100" s="15" t="s">
        <v>241</v>
      </c>
      <c r="D100" s="16" t="n">
        <v>46211</v>
      </c>
      <c r="E100" s="16" t="n">
        <v>46219</v>
      </c>
      <c r="F100" s="13" t="n">
        <f aca="false">E100-D100+1</f>
        <v>9</v>
      </c>
      <c r="G100" s="17" t="s">
        <v>186</v>
      </c>
      <c r="H100" s="15" t="s">
        <v>242</v>
      </c>
    </row>
    <row r="101" customFormat="false" ht="15" hidden="false" customHeight="true" outlineLevel="0" collapsed="false">
      <c r="A101" s="8" t="n">
        <v>48</v>
      </c>
      <c r="B101" s="9" t="s">
        <v>180</v>
      </c>
      <c r="C101" s="10" t="s">
        <v>243</v>
      </c>
      <c r="D101" s="11" t="n">
        <v>46219</v>
      </c>
      <c r="E101" s="11" t="n">
        <v>46230</v>
      </c>
      <c r="F101" s="8" t="n">
        <f aca="false">E101-D101+1</f>
        <v>12</v>
      </c>
      <c r="G101" s="12" t="s">
        <v>44</v>
      </c>
      <c r="H101" s="10" t="s">
        <v>244</v>
      </c>
    </row>
    <row r="102" customFormat="false" ht="15" hidden="false" customHeight="true" outlineLevel="0" collapsed="false">
      <c r="A102" s="13" t="n">
        <v>49</v>
      </c>
      <c r="B102" s="14" t="s">
        <v>180</v>
      </c>
      <c r="C102" s="15" t="s">
        <v>245</v>
      </c>
      <c r="D102" s="16" t="n">
        <v>46231</v>
      </c>
      <c r="E102" s="16" t="n">
        <v>46237</v>
      </c>
      <c r="F102" s="13" t="n">
        <f aca="false">E102-D102+1</f>
        <v>7</v>
      </c>
      <c r="G102" s="17" t="s">
        <v>186</v>
      </c>
      <c r="H102" s="15" t="s">
        <v>246</v>
      </c>
    </row>
    <row r="103" customFormat="false" ht="15" hidden="false" customHeight="true" outlineLevel="0" collapsed="false">
      <c r="A103" s="13" t="s">
        <v>247</v>
      </c>
      <c r="B103" s="14" t="s">
        <v>180</v>
      </c>
      <c r="C103" s="15" t="s">
        <v>248</v>
      </c>
      <c r="D103" s="16" t="n">
        <v>46222</v>
      </c>
      <c r="E103" s="16" t="n">
        <v>46223</v>
      </c>
      <c r="F103" s="13" t="n">
        <f aca="false">E103-D103+1</f>
        <v>2</v>
      </c>
      <c r="G103" s="17" t="s">
        <v>29</v>
      </c>
      <c r="H103" s="15" t="s">
        <v>249</v>
      </c>
    </row>
    <row r="104" customFormat="false" ht="15" hidden="false" customHeight="true" outlineLevel="0" collapsed="false">
      <c r="A104" s="13" t="s">
        <v>250</v>
      </c>
      <c r="B104" s="14" t="s">
        <v>180</v>
      </c>
      <c r="C104" s="15" t="s">
        <v>251</v>
      </c>
      <c r="D104" s="16" t="n">
        <v>46222</v>
      </c>
      <c r="E104" s="16" t="n">
        <v>46223</v>
      </c>
      <c r="F104" s="13" t="n">
        <f aca="false">E104-D104+1</f>
        <v>2</v>
      </c>
      <c r="G104" s="17" t="s">
        <v>23</v>
      </c>
      <c r="H104" s="15" t="s">
        <v>252</v>
      </c>
    </row>
    <row r="105" customFormat="false" ht="15" hidden="false" customHeight="true" outlineLevel="0" collapsed="false">
      <c r="A105" s="13" t="s">
        <v>253</v>
      </c>
      <c r="B105" s="14" t="s">
        <v>180</v>
      </c>
      <c r="C105" s="15" t="s">
        <v>254</v>
      </c>
      <c r="D105" s="16" t="n">
        <v>46223</v>
      </c>
      <c r="E105" s="16" t="n">
        <v>46224</v>
      </c>
      <c r="F105" s="13" t="n">
        <f aca="false">E105-D105+1</f>
        <v>2</v>
      </c>
      <c r="G105" s="17" t="s">
        <v>23</v>
      </c>
      <c r="H105" s="15" t="s">
        <v>255</v>
      </c>
    </row>
    <row r="106" customFormat="false" ht="15" hidden="false" customHeight="true" outlineLevel="0" collapsed="false">
      <c r="A106" s="13" t="s">
        <v>256</v>
      </c>
      <c r="B106" s="14" t="s">
        <v>180</v>
      </c>
      <c r="C106" s="15" t="s">
        <v>257</v>
      </c>
      <c r="D106" s="16" t="n">
        <v>46225</v>
      </c>
      <c r="E106" s="16" t="n">
        <v>46226</v>
      </c>
      <c r="F106" s="13" t="n">
        <f aca="false">E106-D106+1</f>
        <v>2</v>
      </c>
      <c r="G106" s="17" t="s">
        <v>23</v>
      </c>
      <c r="H106" s="15" t="s">
        <v>258</v>
      </c>
    </row>
    <row r="107" customFormat="false" ht="15" hidden="false" customHeight="true" outlineLevel="0" collapsed="false">
      <c r="A107" s="13" t="s">
        <v>259</v>
      </c>
      <c r="B107" s="14" t="s">
        <v>180</v>
      </c>
      <c r="C107" s="15" t="s">
        <v>260</v>
      </c>
      <c r="D107" s="16" t="n">
        <v>46227</v>
      </c>
      <c r="E107" s="16" t="n">
        <v>46228</v>
      </c>
      <c r="F107" s="13" t="n">
        <f aca="false">E107-D107+1</f>
        <v>2</v>
      </c>
      <c r="G107" s="17" t="s">
        <v>44</v>
      </c>
      <c r="H107" s="15" t="s">
        <v>261</v>
      </c>
    </row>
    <row r="108" customFormat="false" ht="15" hidden="false" customHeight="true" outlineLevel="0" collapsed="false">
      <c r="A108" s="13" t="s">
        <v>262</v>
      </c>
      <c r="B108" s="14" t="s">
        <v>180</v>
      </c>
      <c r="C108" s="15" t="s">
        <v>263</v>
      </c>
      <c r="D108" s="16" t="n">
        <v>46229</v>
      </c>
      <c r="E108" s="16" t="n">
        <v>46230</v>
      </c>
      <c r="F108" s="13" t="n">
        <f aca="false">E108-D108+1</f>
        <v>2</v>
      </c>
      <c r="G108" s="17" t="s">
        <v>44</v>
      </c>
      <c r="H108" s="15" t="s">
        <v>264</v>
      </c>
    </row>
    <row r="109" customFormat="false" ht="15" hidden="false" customHeight="true" outlineLevel="0" collapsed="false">
      <c r="A109" s="13" t="s">
        <v>265</v>
      </c>
      <c r="B109" s="14" t="s">
        <v>180</v>
      </c>
      <c r="C109" s="15" t="s">
        <v>266</v>
      </c>
      <c r="D109" s="16" t="n">
        <v>46227</v>
      </c>
      <c r="E109" s="16" t="n">
        <v>46227</v>
      </c>
      <c r="F109" s="13" t="n">
        <f aca="false">E109-D109+1</f>
        <v>1</v>
      </c>
      <c r="G109" s="17" t="s">
        <v>23</v>
      </c>
      <c r="H109" s="15" t="s">
        <v>267</v>
      </c>
    </row>
    <row r="110" customFormat="false" ht="15" hidden="false" customHeight="true" outlineLevel="0" collapsed="false">
      <c r="A110" s="13" t="s">
        <v>268</v>
      </c>
      <c r="B110" s="14" t="s">
        <v>180</v>
      </c>
      <c r="C110" s="15" t="s">
        <v>269</v>
      </c>
      <c r="D110" s="16" t="n">
        <v>46230</v>
      </c>
      <c r="E110" s="16" t="n">
        <v>46230</v>
      </c>
      <c r="F110" s="13" t="n">
        <f aca="false">E110-D110+1</f>
        <v>1</v>
      </c>
      <c r="G110" s="17" t="s">
        <v>23</v>
      </c>
      <c r="H110" s="15" t="s">
        <v>270</v>
      </c>
    </row>
    <row r="111" customFormat="false" ht="15" hidden="false" customHeight="true" outlineLevel="0" collapsed="false">
      <c r="A111" s="13" t="s">
        <v>271</v>
      </c>
      <c r="B111" s="14" t="s">
        <v>180</v>
      </c>
      <c r="C111" s="15" t="s">
        <v>272</v>
      </c>
      <c r="D111" s="16" t="n">
        <v>46236</v>
      </c>
      <c r="E111" s="16" t="n">
        <v>46237</v>
      </c>
      <c r="F111" s="13" t="n">
        <f aca="false">E111-D111+1</f>
        <v>2</v>
      </c>
      <c r="G111" s="17" t="s">
        <v>186</v>
      </c>
      <c r="H111" s="15" t="s">
        <v>273</v>
      </c>
    </row>
    <row r="112" customFormat="false" ht="15" hidden="false" customHeight="true" outlineLevel="0" collapsed="false">
      <c r="A112" s="13" t="s">
        <v>274</v>
      </c>
      <c r="B112" s="14" t="s">
        <v>180</v>
      </c>
      <c r="C112" s="15" t="s">
        <v>275</v>
      </c>
      <c r="D112" s="16" t="n">
        <v>46234</v>
      </c>
      <c r="E112" s="16" t="n">
        <v>46235</v>
      </c>
      <c r="F112" s="13" t="n">
        <f aca="false">E112-D112+1</f>
        <v>2</v>
      </c>
      <c r="G112" s="17" t="s">
        <v>71</v>
      </c>
      <c r="H112" s="15" t="s">
        <v>276</v>
      </c>
    </row>
    <row r="113" customFormat="false" ht="15" hidden="false" customHeight="true" outlineLevel="0" collapsed="false">
      <c r="A113" s="13" t="s">
        <v>277</v>
      </c>
      <c r="B113" s="14" t="s">
        <v>180</v>
      </c>
      <c r="C113" s="15" t="s">
        <v>278</v>
      </c>
      <c r="D113" s="16" t="n">
        <v>46240</v>
      </c>
      <c r="E113" s="16" t="n">
        <v>46253</v>
      </c>
      <c r="F113" s="13" t="n">
        <f aca="false">E113-D113+1</f>
        <v>14</v>
      </c>
      <c r="G113" s="17" t="s">
        <v>23</v>
      </c>
      <c r="H113" s="15" t="s">
        <v>279</v>
      </c>
    </row>
    <row r="114" customFormat="false" ht="15" hidden="false" customHeight="true" outlineLevel="0" collapsed="false">
      <c r="A114" s="13" t="s">
        <v>280</v>
      </c>
      <c r="B114" s="14" t="s">
        <v>180</v>
      </c>
      <c r="C114" s="15" t="s">
        <v>281</v>
      </c>
      <c r="D114" s="16" t="n">
        <v>46230</v>
      </c>
      <c r="E114" s="16" t="n">
        <v>46240</v>
      </c>
      <c r="F114" s="13" t="n">
        <f aca="false">E114-D114+1</f>
        <v>11</v>
      </c>
      <c r="G114" s="17" t="s">
        <v>186</v>
      </c>
      <c r="H114" s="15" t="s">
        <v>282</v>
      </c>
    </row>
    <row r="115" customFormat="false" ht="15" hidden="false" customHeight="true" outlineLevel="0" collapsed="false">
      <c r="A115" s="13" t="s">
        <v>283</v>
      </c>
      <c r="B115" s="14" t="s">
        <v>180</v>
      </c>
      <c r="C115" s="15" t="s">
        <v>284</v>
      </c>
      <c r="D115" s="16" t="n">
        <v>46237</v>
      </c>
      <c r="E115" s="16" t="n">
        <v>46238</v>
      </c>
      <c r="F115" s="13" t="n">
        <f aca="false">E115-D115+1</f>
        <v>2</v>
      </c>
      <c r="G115" s="17" t="s">
        <v>23</v>
      </c>
      <c r="H115" s="15" t="s">
        <v>285</v>
      </c>
    </row>
    <row r="116" customFormat="false" ht="15" hidden="false" customHeight="true" outlineLevel="0" collapsed="false">
      <c r="A116" s="13" t="s">
        <v>286</v>
      </c>
      <c r="B116" s="14" t="s">
        <v>180</v>
      </c>
      <c r="C116" s="15" t="s">
        <v>287</v>
      </c>
      <c r="D116" s="16" t="n">
        <v>46234</v>
      </c>
      <c r="E116" s="16" t="n">
        <v>46235</v>
      </c>
      <c r="F116" s="13" t="n">
        <f aca="false">E116-D116+1</f>
        <v>2</v>
      </c>
      <c r="G116" s="17" t="s">
        <v>18</v>
      </c>
      <c r="H116" s="15" t="s">
        <v>288</v>
      </c>
    </row>
    <row r="117" customFormat="false" ht="15" hidden="false" customHeight="true" outlineLevel="0" collapsed="false">
      <c r="A117" s="13" t="s">
        <v>289</v>
      </c>
      <c r="B117" s="14" t="s">
        <v>180</v>
      </c>
      <c r="C117" s="15" t="s">
        <v>290</v>
      </c>
      <c r="D117" s="16" t="n">
        <v>46235</v>
      </c>
      <c r="E117" s="16" t="n">
        <v>46237</v>
      </c>
      <c r="F117" s="13" t="n">
        <f aca="false">E117-D117+1</f>
        <v>3</v>
      </c>
      <c r="G117" s="17" t="s">
        <v>13</v>
      </c>
      <c r="H117" s="15" t="s">
        <v>291</v>
      </c>
    </row>
    <row r="118" customFormat="false" ht="15" hidden="false" customHeight="true" outlineLevel="0" collapsed="false">
      <c r="A118" s="18" t="s">
        <v>292</v>
      </c>
      <c r="B118" s="18"/>
      <c r="C118" s="18"/>
      <c r="D118" s="18"/>
      <c r="E118" s="18"/>
      <c r="F118" s="18"/>
      <c r="G118" s="18"/>
      <c r="H118" s="18"/>
    </row>
    <row r="119" customFormat="false" ht="15" hidden="false" customHeight="true" outlineLevel="0" collapsed="false">
      <c r="A119" s="18"/>
      <c r="B119" s="18"/>
      <c r="C119" s="18"/>
      <c r="D119" s="18"/>
      <c r="E119" s="18"/>
      <c r="F119" s="18"/>
      <c r="G119" s="18"/>
      <c r="H119" s="18"/>
    </row>
    <row r="120" customFormat="false" ht="15" hidden="false" customHeight="true" outlineLevel="0" collapsed="false">
      <c r="A120" s="18"/>
      <c r="B120" s="18"/>
      <c r="C120" s="18"/>
      <c r="D120" s="18"/>
      <c r="E120" s="18"/>
      <c r="F120" s="18"/>
      <c r="G120" s="18"/>
      <c r="H120" s="18"/>
    </row>
    <row r="121" customFormat="false" ht="15" hidden="false" customHeight="true" outlineLevel="0" collapsed="false">
      <c r="A121" s="18"/>
      <c r="B121" s="18"/>
      <c r="C121" s="18"/>
      <c r="D121" s="18"/>
      <c r="E121" s="18"/>
      <c r="F121" s="18"/>
      <c r="G121" s="18"/>
      <c r="H121" s="18"/>
    </row>
    <row r="122" customFormat="false" ht="15" hidden="false" customHeight="true" outlineLevel="0" collapsed="false">
      <c r="A122" s="19" t="s">
        <v>293</v>
      </c>
    </row>
    <row r="123" customFormat="false" ht="15" hidden="false" customHeight="true" outlineLevel="0" collapsed="false">
      <c r="A123" s="8" t="n">
        <v>53</v>
      </c>
      <c r="B123" s="9" t="s">
        <v>294</v>
      </c>
      <c r="C123" s="10" t="s">
        <v>295</v>
      </c>
      <c r="D123" s="11" t="n">
        <v>46175</v>
      </c>
      <c r="E123" s="11" t="n">
        <v>46175</v>
      </c>
      <c r="F123" s="8" t="n">
        <f aca="false">E123-D123+1</f>
        <v>1</v>
      </c>
      <c r="G123" s="12" t="s">
        <v>23</v>
      </c>
      <c r="H123" s="10" t="s">
        <v>296</v>
      </c>
    </row>
    <row r="124" customFormat="false" ht="15" hidden="false" customHeight="true" outlineLevel="0" collapsed="false">
      <c r="A124" s="13" t="n">
        <v>54</v>
      </c>
      <c r="B124" s="14" t="s">
        <v>294</v>
      </c>
      <c r="C124" s="15" t="s">
        <v>297</v>
      </c>
      <c r="D124" s="16" t="n">
        <v>46189</v>
      </c>
      <c r="E124" s="16" t="n">
        <v>46189</v>
      </c>
      <c r="F124" s="13" t="n">
        <f aca="false">E124-D124+1</f>
        <v>1</v>
      </c>
      <c r="G124" s="17" t="s">
        <v>23</v>
      </c>
      <c r="H124" s="15" t="s">
        <v>298</v>
      </c>
    </row>
    <row r="125" customFormat="false" ht="15" hidden="false" customHeight="true" outlineLevel="0" collapsed="false">
      <c r="A125" s="8" t="s">
        <v>299</v>
      </c>
      <c r="B125" s="9" t="s">
        <v>294</v>
      </c>
      <c r="C125" s="10" t="s">
        <v>300</v>
      </c>
      <c r="D125" s="11" t="n">
        <v>46210</v>
      </c>
      <c r="E125" s="11" t="n">
        <v>46210</v>
      </c>
      <c r="F125" s="8" t="n">
        <f aca="false">E125-D125+1</f>
        <v>1</v>
      </c>
      <c r="G125" s="12" t="s">
        <v>23</v>
      </c>
      <c r="H125" s="10" t="s">
        <v>301</v>
      </c>
    </row>
    <row r="126" customFormat="false" ht="15" hidden="false" customHeight="true" outlineLevel="0" collapsed="false">
      <c r="A126" s="8" t="s">
        <v>302</v>
      </c>
      <c r="B126" s="9" t="s">
        <v>294</v>
      </c>
      <c r="C126" s="10" t="s">
        <v>303</v>
      </c>
      <c r="D126" s="11" t="n">
        <v>46218</v>
      </c>
      <c r="E126" s="11" t="n">
        <v>46218</v>
      </c>
      <c r="F126" s="8" t="n">
        <f aca="false">E126-D126+1</f>
        <v>1</v>
      </c>
      <c r="G126" s="12" t="s">
        <v>23</v>
      </c>
      <c r="H126" s="10" t="s">
        <v>304</v>
      </c>
    </row>
    <row r="127" customFormat="false" ht="15" hidden="false" customHeight="true" outlineLevel="0" collapsed="false">
      <c r="A127" s="8" t="s">
        <v>305</v>
      </c>
      <c r="B127" s="9" t="s">
        <v>294</v>
      </c>
      <c r="C127" s="10" t="s">
        <v>306</v>
      </c>
      <c r="D127" s="11" t="n">
        <v>46223</v>
      </c>
      <c r="E127" s="11" t="n">
        <v>46223</v>
      </c>
      <c r="F127" s="8" t="n">
        <f aca="false">E127-D127+1</f>
        <v>1</v>
      </c>
      <c r="G127" s="12" t="s">
        <v>23</v>
      </c>
      <c r="H127" s="10" t="s">
        <v>307</v>
      </c>
    </row>
    <row r="128" customFormat="false" ht="15" hidden="false" customHeight="true" outlineLevel="0" collapsed="false">
      <c r="A128" s="13" t="n">
        <v>55</v>
      </c>
      <c r="B128" s="14" t="s">
        <v>294</v>
      </c>
      <c r="C128" s="15" t="s">
        <v>308</v>
      </c>
      <c r="D128" s="16" t="n">
        <v>46228</v>
      </c>
      <c r="E128" s="16" t="n">
        <v>46228</v>
      </c>
      <c r="F128" s="13" t="n">
        <f aca="false">E128-D128+1</f>
        <v>1</v>
      </c>
      <c r="G128" s="17" t="s">
        <v>23</v>
      </c>
      <c r="H128" s="15" t="s">
        <v>309</v>
      </c>
    </row>
    <row r="129" customFormat="false" ht="15" hidden="false" customHeight="true" outlineLevel="0" collapsed="false">
      <c r="A129" s="13" t="s">
        <v>310</v>
      </c>
      <c r="B129" s="14" t="s">
        <v>294</v>
      </c>
      <c r="C129" s="15" t="s">
        <v>311</v>
      </c>
      <c r="D129" s="16" t="n">
        <v>46230</v>
      </c>
      <c r="E129" s="16" t="n">
        <v>46230</v>
      </c>
      <c r="F129" s="13" t="n">
        <f aca="false">E129-D129+1</f>
        <v>1</v>
      </c>
      <c r="G129" s="17" t="s">
        <v>23</v>
      </c>
      <c r="H129" s="15" t="s">
        <v>312</v>
      </c>
    </row>
    <row r="130" customFormat="false" ht="15" hidden="false" customHeight="true" outlineLevel="0" collapsed="false">
      <c r="A130" s="8" t="n">
        <v>56</v>
      </c>
      <c r="B130" s="9" t="s">
        <v>294</v>
      </c>
      <c r="C130" s="10" t="s">
        <v>313</v>
      </c>
      <c r="D130" s="11" t="n">
        <v>46237</v>
      </c>
      <c r="E130" s="11" t="n">
        <v>46237</v>
      </c>
      <c r="F130" s="8" t="n">
        <f aca="false">E130-D130+1</f>
        <v>1</v>
      </c>
      <c r="G130" s="12" t="s">
        <v>23</v>
      </c>
      <c r="H130" s="10" t="s">
        <v>314</v>
      </c>
    </row>
    <row r="131" customFormat="false" ht="15" hidden="false" customHeight="true" outlineLevel="0" collapsed="false">
      <c r="A131" s="8" t="s">
        <v>315</v>
      </c>
      <c r="B131" s="9" t="s">
        <v>294</v>
      </c>
      <c r="C131" s="10" t="s">
        <v>316</v>
      </c>
      <c r="D131" s="11" t="n">
        <v>46238</v>
      </c>
      <c r="E131" s="11" t="n">
        <v>46238</v>
      </c>
      <c r="F131" s="8" t="n">
        <f aca="false">E131-D131+1</f>
        <v>1</v>
      </c>
      <c r="G131" s="12" t="s">
        <v>23</v>
      </c>
      <c r="H131" s="10" t="s">
        <v>317</v>
      </c>
    </row>
    <row r="132" customFormat="false" ht="15" hidden="false" customHeight="true" outlineLevel="0" collapsed="false">
      <c r="A132" s="13" t="n">
        <v>57</v>
      </c>
      <c r="B132" s="14" t="s">
        <v>294</v>
      </c>
      <c r="C132" s="15" t="s">
        <v>318</v>
      </c>
      <c r="D132" s="16" t="n">
        <v>46238</v>
      </c>
      <c r="E132" s="16" t="n">
        <v>46238</v>
      </c>
      <c r="F132" s="13" t="n">
        <f aca="false">E132-D132+1</f>
        <v>1</v>
      </c>
      <c r="G132" s="17" t="s">
        <v>319</v>
      </c>
      <c r="H132" s="15" t="s">
        <v>320</v>
      </c>
    </row>
    <row r="133" customFormat="false" ht="15" hidden="false" customHeight="true" outlineLevel="0" collapsed="false">
      <c r="A133" s="8" t="n">
        <v>58</v>
      </c>
      <c r="B133" s="9" t="s">
        <v>294</v>
      </c>
      <c r="C133" s="10" t="s">
        <v>321</v>
      </c>
      <c r="D133" s="11" t="n">
        <v>46240</v>
      </c>
      <c r="E133" s="11" t="n">
        <v>46240</v>
      </c>
      <c r="F133" s="8" t="n">
        <f aca="false">E133-D133+1</f>
        <v>1</v>
      </c>
      <c r="G133" s="12" t="s">
        <v>322</v>
      </c>
      <c r="H133" s="10"/>
    </row>
    <row r="134" customFormat="false" ht="15" hidden="false" customHeight="true" outlineLevel="0" collapsed="false">
      <c r="A134" s="8" t="s">
        <v>323</v>
      </c>
      <c r="B134" s="9" t="s">
        <v>294</v>
      </c>
      <c r="C134" s="10" t="s">
        <v>324</v>
      </c>
      <c r="D134" s="11" t="n">
        <v>46264</v>
      </c>
      <c r="E134" s="11" t="n">
        <v>46264</v>
      </c>
      <c r="F134" s="8" t="n">
        <f aca="false">E134-D134+1</f>
        <v>1</v>
      </c>
      <c r="G134" s="12" t="s">
        <v>319</v>
      </c>
      <c r="H134" s="10" t="s">
        <v>325</v>
      </c>
    </row>
  </sheetData>
  <mergeCells count="14">
    <mergeCell ref="A1:H1"/>
    <mergeCell ref="A2:H2"/>
    <mergeCell ref="A5:H5"/>
    <mergeCell ref="A24:H24"/>
    <mergeCell ref="A35:H35"/>
    <mergeCell ref="A36:H36"/>
    <mergeCell ref="A65:H65"/>
    <mergeCell ref="A66:H66"/>
    <mergeCell ref="A75:H75"/>
    <mergeCell ref="A76:H76"/>
    <mergeCell ref="A118:H118"/>
    <mergeCell ref="A119:H119"/>
    <mergeCell ref="A120:H120"/>
    <mergeCell ref="A121:H1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4" min="3" style="1" width="14"/>
    <col collapsed="false" customWidth="true" hidden="false" outlineLevel="0" max="5" min="5" style="1" width="12"/>
    <col collapsed="false" customWidth="true" hidden="false" outlineLevel="0" max="6" min="6" style="1" width="60"/>
  </cols>
  <sheetData>
    <row r="1" customFormat="false" ht="17.25" hidden="false" customHeight="true" outlineLevel="0" collapsed="false">
      <c r="A1" s="21" t="s">
        <v>326</v>
      </c>
      <c r="B1" s="21"/>
      <c r="C1" s="21"/>
      <c r="D1" s="21"/>
      <c r="E1" s="21"/>
      <c r="F1" s="21"/>
    </row>
    <row r="2" customFormat="false" ht="15" hidden="false" customHeight="true" outlineLevel="0" collapsed="false">
      <c r="A2" s="4" t="s">
        <v>327</v>
      </c>
      <c r="B2" s="4" t="s">
        <v>328</v>
      </c>
      <c r="C2" s="4" t="s">
        <v>329</v>
      </c>
      <c r="D2" s="4" t="s">
        <v>330</v>
      </c>
      <c r="E2" s="4" t="s">
        <v>331</v>
      </c>
      <c r="F2" s="4" t="s">
        <v>332</v>
      </c>
    </row>
    <row r="3" customFormat="false" ht="15" hidden="false" customHeight="true" outlineLevel="0" collapsed="false">
      <c r="A3" s="22" t="s">
        <v>11</v>
      </c>
      <c r="B3" s="22" t="s">
        <v>11</v>
      </c>
      <c r="C3" s="23" t="n">
        <f aca="false">MIN('Project Plan'!D6:D23)</f>
        <v>46127</v>
      </c>
      <c r="D3" s="23" t="n">
        <f aca="false">MAX('Project Plan'!E6:E23)</f>
        <v>46264</v>
      </c>
      <c r="E3" s="24" t="n">
        <f aca="false">D3-C3+1</f>
        <v>138</v>
      </c>
      <c r="F3" s="25" t="s">
        <v>333</v>
      </c>
    </row>
    <row r="4" customFormat="false" ht="15" hidden="false" customHeight="true" outlineLevel="0" collapsed="false">
      <c r="A4" s="22" t="s">
        <v>63</v>
      </c>
      <c r="B4" s="22" t="s">
        <v>63</v>
      </c>
      <c r="C4" s="23" t="n">
        <f aca="false">MIN('Project Plan'!D26:D34)</f>
        <v>46160</v>
      </c>
      <c r="D4" s="23" t="n">
        <f aca="false">MAX('Project Plan'!E26:E34)</f>
        <v>46232</v>
      </c>
      <c r="E4" s="24" t="n">
        <f aca="false">D4-C4+1</f>
        <v>73</v>
      </c>
      <c r="F4" s="25" t="s">
        <v>334</v>
      </c>
    </row>
    <row r="5" customFormat="false" ht="15" hidden="false" customHeight="true" outlineLevel="0" collapsed="false">
      <c r="A5" s="22" t="s">
        <v>85</v>
      </c>
      <c r="B5" s="22" t="s">
        <v>335</v>
      </c>
      <c r="C5" s="23" t="n">
        <f aca="false">MIN('Project Plan'!D38:D64)</f>
        <v>46143</v>
      </c>
      <c r="D5" s="23" t="n">
        <f aca="false">MAX('Project Plan'!E38:E64)</f>
        <v>46239</v>
      </c>
      <c r="E5" s="24" t="n">
        <f aca="false">D5-C5+1</f>
        <v>97</v>
      </c>
      <c r="F5" s="25" t="s">
        <v>336</v>
      </c>
    </row>
    <row r="6" customFormat="false" ht="15" hidden="false" customHeight="true" outlineLevel="0" collapsed="false">
      <c r="A6" s="22" t="s">
        <v>157</v>
      </c>
      <c r="B6" s="22" t="s">
        <v>337</v>
      </c>
      <c r="C6" s="23" t="n">
        <f aca="false">MIN('Project Plan'!D68:D74)</f>
        <v>46193</v>
      </c>
      <c r="D6" s="23" t="n">
        <f aca="false">MAX('Project Plan'!E68:E74)</f>
        <v>46228</v>
      </c>
      <c r="E6" s="24" t="n">
        <f aca="false">D6-C6+1</f>
        <v>36</v>
      </c>
      <c r="F6" s="25" t="s">
        <v>338</v>
      </c>
    </row>
    <row r="7" customFormat="false" ht="15" hidden="false" customHeight="true" outlineLevel="0" collapsed="false">
      <c r="A7" s="22" t="s">
        <v>180</v>
      </c>
      <c r="B7" s="22" t="s">
        <v>339</v>
      </c>
      <c r="C7" s="23" t="n">
        <f aca="false">MIN('Project Plan'!D78:D117)</f>
        <v>46171</v>
      </c>
      <c r="D7" s="23" t="n">
        <f aca="false">MAX('Project Plan'!E78:E117)</f>
        <v>46253</v>
      </c>
      <c r="E7" s="24" t="n">
        <f aca="false">D7-C7+1</f>
        <v>83</v>
      </c>
      <c r="F7" s="25" t="s">
        <v>340</v>
      </c>
    </row>
    <row r="8" customFormat="false" ht="15" hidden="false" customHeight="true" outlineLevel="0" collapsed="false">
      <c r="A8" s="22" t="s">
        <v>294</v>
      </c>
      <c r="B8" s="22" t="s">
        <v>341</v>
      </c>
      <c r="C8" s="23" t="n">
        <f aca="false">MIN('Project Plan'!D123:D134)</f>
        <v>46175</v>
      </c>
      <c r="D8" s="23" t="n">
        <f aca="false">MAX('Project Plan'!E123:E134)</f>
        <v>46264</v>
      </c>
      <c r="E8" s="24" t="n">
        <f aca="false">D8-C8+1</f>
        <v>90</v>
      </c>
      <c r="F8" s="25" t="s">
        <v>342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2026-03-28T09:29:11Z</dcterms:created>
  <dc:creator>openpyxl</dc:creator>
  <dc:description/>
  <dc:language>en-US</dc:language>
  <cp:lastModifiedBy>דייויד קסטיאל</cp:lastModifiedBy>
  <cp:lastPrinted>2026-03-31T05:59:50Z</cp:lastPrinted>
  <dcterms:modified xsi:type="dcterms:W3CDTF">2026-08-01T09:32:45Z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