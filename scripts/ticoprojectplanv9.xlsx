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<sst xmlns="http://schemas.openxmlformats.org/spreadsheetml/2006/main" count="528" uniqueCount="324">
  <si>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</si>
  <si>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FreeSan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FreeSan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FreeSan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26.07.2026 — v9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</si>
  <si>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</si>
  <si>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</si>
  <si>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</si>
  <si>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</si>
  <si>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</si>
  <si>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</si>
  <si>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</si>
  <si>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</si>
  <si>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25.7 ✅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</si>
  <si>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</si>
  <si>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</si>
  <si>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</si>
  <si>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</si>
  <si>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</si>
  <si>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</si>
  <si>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</si>
  <si>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</si>
  <si>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</si>
  <si>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</si>
  <si>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</si>
  <si>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✅ אימות ביבליוגרפיה + תיקון רינדור bidi</t>
  </si>
  <si>
    <t xml:space="preserve">KEY</t>
  </si>
  <si>
    <t xml:space="preserve">Phocuswright מאומת 9.6 (March · URL נחיתה · author תאגידי) · 89%=Booking ✓ · נותר: Chile 21.383 · פטנט Apple · Nature MI · +תיקון bidi בביבליוגרפיה — רשומות לטיניות מתבלגנות (סוגריים/אותיות) בכל הרשומות · סיכון בוחן · Phocuswright+89%=Booking מאומתים; נותר Chile/Apple/Nature · 23.7: נסגר (עדכון David — ספר מוכן להדפסה)</t>
  </si>
  <si>
    <t xml:space="preserve">6b</t>
  </si>
  <si>
    <t xml:space="preserve">✅ תיקון bidi ל-citations בגוף (\citep הפוך)</t>
  </si>
  <si>
    <t xml:space="preserve">✅ בקוד (\RenewDocumentCommand+\textenglish) — נותר אימות רנדר על PDF בלבד</t>
  </si>
  <si>
    <t xml:space="preserve">✅ עריכת ניסוחים — כל הפרקים (Word flow)</t>
  </si>
  <si>
    <t xml:space="preserve">CONTENT</t>
  </si>
  <si>
    <t xml:space="preserve">David עורך ב-Word → החלה עדינה על ה-tex · 23.7: נסגר</t>
  </si>
  <si>
    <t xml:space="preserve">✅ פרק 7 (תערוכה)</t>
  </si>
  <si>
    <t xml:space="preserve">חסום ל-spec + מיפוי סוף יוני · 14.7: spec צפוי להיסגר היום — פותחים את הפרק מיד אחריו · 23.7: נסגר</t>
  </si>
  <si>
    <t xml:space="preserve">✅ פרק 9 (דיון)</t>
  </si>
  <si>
    <t xml:space="preserve">subsection קונסולידציה/מיקום (companion≠oracle) נוסף ואומת מול הדו״ח 9.6 (64/81/68 תוקנו: קטגוריה מול ChatGPT) · יתר הפרק לקראת הסוף · 23.7: נסגר</t>
  </si>
  <si>
    <t xml:space="preserve">✅ Abstract אנגלית + עברית</t>
  </si>
  <si>
    <t xml:space="preserve">לפי תקנון HIT · 23.7: נסגר</t>
  </si>
  <si>
    <t xml:space="preserve">10b</t>
  </si>
  <si>
    <t xml:space="preserve">✅ איורים לספר — סבב השלמה (כולל פיגורת לוגו + משפט-יישוב פ׳8)</t>
  </si>
  <si>
    <t xml:space="preserve">הפריט הפתוח הגדול בספר — כמעט אין איורים · מיזוג משימה 5 · 23.7: הושלם (עדכון David)</t>
  </si>
  <si>
    <t xml:space="preserve">✅ הקפאת תוכן + הגהה + בנייה סופית</t>
  </si>
  <si>
    <t xml:space="preserve">נסגר 25.7: 22 תיקוני הגהה על 9 פרקים · גלוסות (לוקוס/1536/prior) · פרק 7 מידות סופיות (live 32״ · הדמיות 40״ · קיר קאפה 3.6 · שטח עמדה 3.6) · אפס em-dash בפרוזה · build נקי · נדחף origin/main @ 253e4c3. ⚠️ main.tex פריז — אין לגעת.</t>
  </si>
  <si>
    <t xml:space="preserve">11b</t>
  </si>
  <si>
    <t xml:space="preserve">הדפסת ספר A4 כריכה רכה — אופציונלי</t>
  </si>
  <si>
    <t xml:space="preserve">PRINT</t>
  </si>
  <si>
    <t xml:space="preserve">לא חובה — ההגשה הרשמית דיגיטלית עד 30.8. ⚠️ ההערה הקודמת הפנתה ל-Lupa (11c) שבוטלה; עותק התצוגה עבר ל-11d (בית דפוס). אם מדפיסים A4 רך: אחרי התערוכה, ללא לחץ.</t>
  </si>
  <si>
    <t xml:space="preserve">11c</t>
  </si>
  <si>
    <t xml:space="preserve">❌ עותק תצוגה Lupa — בוטל 25.7</t>
  </si>
  <si>
    <t xml:space="preserve">בוטל 25.7: לופה כופה מסגרת עבה בכל עמוד. ✅ העבודה לא לחינם — main-lupa.tex + chapters/Z-guestbook.tex (ספר אורחים, 10 עמודים) קומיט 7b42365 והם בדיוק מה שנמסר לבית הדפוס. תחליף: 11d.</t>
  </si>
  <si>
    <t xml:space="preserve">11d</t>
  </si>
  <si>
    <t xml:space="preserve">עותק תצוגה — בית דפוס (במקום Lupa)</t>
  </si>
  <si>
    <t xml:space="preserve">⚠️ הפריט עם זמן האספקה הארוך ביותר והשליטה הנמוכה ביותר. ספקים: סדר צלם (ת״א) — המלצה ראשית, מעותק אחד, "התאמה מלאה לקבצי הדפסה", סניף פיזי · לייזר מכון העתקות — תמחור מקביל · עותקים / דפוס אופק (חיפה) — גיבוי. זמן: 3–5 ימי עבודה + 1–3 משלוח ⇒ מסירה 27.7 נוחתת 2–3.8, יום באפר אחד לפני הג׳ורי. ארבע שאלות לשיחה: (1) פתיחה שטוחה — תפירה/PUR (2) קובץ כריכה נפרד + חישוב שדרה (3) אפס שוליים כפויים (4) "בידיים עד 4.8". ✅ החלטה: השער האנגלי עובר לכריכה האחורית (קונבנציה אקדמית ישראלית) ⇒ הפְּנים יוצא 110 עמודים — זוגי, בלי עמוד מלית מלאכותי.</t>
  </si>
  <si>
    <t xml:space="preserve">11e</t>
  </si>
  <si>
    <t xml:space="preserve">קובץ כריכה — פרוס שטוח (אחורית+שדרה+קדמית)</t>
  </si>
  <si>
    <t xml:space="preserve">⚠️ תוצר חדש שלא היה קיים — לופה סיפקה מערכת כריכה משלה. ⚠️ חסום: רוחב השדרה מגיע מבית הדפוס ותלוי במספר העמודים ובנייר, ולכן אי אפשר לבנות לפני השיחה (11d). כולל בליד. השער האנגלי יושב על הכריכה האחורית.</t>
  </si>
  <si>
    <t xml:space="preserve">11f</t>
  </si>
  <si>
    <t xml:space="preserve">בליד לספר — הגדלת MediaBox בלבד</t>
  </si>
  <si>
    <t xml:space="preserve">DEV</t>
  </si>
  <si>
    <t xml:space="preserve">⚠️ אין לגעת ב-LaTeX. שינוי geometry מזיז מעברי עמוד ומספרי TOC ומחייב מעבר-עין מחדש על 110 עמודים. מכיוון שהרקע הוא \pagecolor שטוח, מגדילים את ה-MediaBox של ה-PDF המוכן וממלאים אייבורי — אפס זרימה מחדש. ⚠️ אייבורי: odysee.sty מגדיר odyseeIvory = Sand50 #FAF6F0 אבל מפרט המותג הוא #F6F4EF — להשתמש בשם ייעודי ולא לדרוס את הטוקן.</t>
  </si>
  <si>
    <t xml:space="preserve">11g</t>
  </si>
  <si>
    <t xml:space="preserve">סעיף הפיילוט לפרק הדיון — גרסה דיגיטלית</t>
  </si>
  <si>
    <t xml:space="preserve">⚠️ grep על הפרקים: "פיילוט" 0 · "מבחן" 0 · "21.7" 0 · "בודק" 0 ב-07-exhibition וב-08-discussion. שישה משתמשים, לוג מתוזמן, פרוטוקול v2 וממצאים ששינו החלטת ארכיטקטורה — אף אחד מהם לא בתזה. ✅ החלטת David: לא לגעת בגרסה שהולכת לדפוס (4.8); להוסיף בגרסה הדיגיטלית עד 30.8 — וזו הגרסה הנבחנת.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</si>
  <si>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</si>
  <si>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</si>
  <si>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</si>
  <si>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</si>
  <si>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</si>
  <si>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</si>
  <si>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</si>
  <si>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</si>
  <si>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</si>
  <si>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</si>
  <si>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</si>
  <si>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</si>
  <si>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</si>
  <si>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</si>
  <si>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</si>
  <si>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</si>
  <si>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 (הגיע). ⚠️ 24.7: exhibition.html עדיין מחזיק 3.5 מ׳ ו-24″ — סותר את פרק 7 המעודכן (3.6 · 32″ · 40״). לעדכן במסגרת 20b.</t>
  </si>
  <si>
    <t xml:space="preserve">QA light/dark/mobile/RTL + OG image</t>
  </si>
  <si>
    <t xml:space="preserve">QA</t>
  </si>
  <si>
    <t xml:space="preserve">20b</t>
  </si>
  <si>
    <t xml:space="preserve">מעבר עקביות ספר↔אתר לפני עלייה לאוויר</t>
  </si>
  <si>
    <t xml:space="preserve">הספר עבר ניקוי מעמיק (לקסיקון 19.7 + פרק 7 + הגהת 25.7) — האתר האנגלי טרם עודכן. לעבור על כל הדפים מול הספר לפני merge ל-main: (1) הלקסיקון החדש — companion-not-oracle, אפס "חישה"/"רגש" בחומרים פומביים · (2) 4 המיושמים AGT-01/02/04/06 מול נספח א.2 · (3) exhibition.html מול פרק 7 — 3.6 מ׳ ו-32״/40″ (כרגע 3.5 ו-24″) · (4) AGT-09 "(נקודות ומיילים)" — ⚠️ החלטת יעל לפוסטר, לא טעות, אין "לתקן" חזרה · (5) Tico/Odysee לטינית תמיד. ספר עברית ↔ אתר אנגלית = בדיקה סמנטית. חייב להסתיים לפני הג׳ורי 4.8.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</si>
  <si>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</si>
  <si>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</si>
  <si>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</si>
  <si>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</si>
  <si>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</si>
  <si>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</si>
  <si>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</si>
  <si>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</si>
  <si>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</si>
  <si>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 · 7.7: הצצה-משמאל (fix-4) אושרה ע"י חנן · 21.7: פתרון הלטנסי עבר לאודיו גישור (36c) · 24.7: 36c נפרס. ⚠️ 24.7 ערב — חקירת הלטנסי נסגרה: אין רכיב דומיננטי (rec→trans 1655ms · trans→firstTok 2145ms · gen→sentence 1327ms · tts-ttfb 1612ms · TOTAL 7375ms חציוני). הליבר היחיד הוא מספר הסבבים וגודל המטען; איחוד סבבים נדחה לאחרי התערוכה. הפעולה היחידה לפני 6.8 = הגבלת מטען (36j).</t>
  </si>
  <si>
    <t xml:space="preserve">✅ חיבור tico-orb ל-TTS envelope + VAD</t>
  </si>
  <si>
    <t xml:space="preserve">פה לפי אמפליטודה; מעברי-מצב · מסומן סגור 14.7 (~90%) — אימות סופי במסגרת QA (35)</t>
  </si>
  <si>
    <t xml:space="preserve">✅ AGT-06 אימות מקצה-לקצה</t>
  </si>
  <si>
    <t xml:space="preserve">frontend לא אומת בזרימה מלאה · אומת שוב ושוב בריצות e2e מלאות מאז יוני</t>
  </si>
  <si>
    <t xml:space="preserve">✅ מודל PTT (tap+VAD) + טריגר כפתור פיזי (Pico HID→F13)</t>
  </si>
  <si>
    <t xml:space="preserve">ליבה אומתה e2e 14.6: החלטה tap-to-open + VAD סוגר (לא hold). arcade button → Pico 2W (CircuitPython 10.2.1) → HID keystroke F13 → keydown ב-app.js (bindDisplayHotkeys, ענף else-if) → send(start_listening). אומת עם jumper GP21↔GND; Tico עבר ל-listening. רכיבים הוזמנו מ-Ali (~שבועיים): כפתור 30mm 5V clear ×10 · amber LED 5V prewired · טרנזיסטורים · נגדים · breadboard · jumpers. נותר: הרכבת כפתור כשמגיע · שכבת LED מונעת-מצב (GP16+טרנזיסטור, קוד מוכן) · commit app.js. אותו דפוס keystroke→WS פותח גם טריגר פיזי ל-takeaway (משימה 32). · 7.7: הוחלט כפתור פיזי שני 🎫 ל-takeaway על אותו Pico (GPIO פנוי → F14). 6 כפתורים הגיעו — 2 לפלינת, השאר רזרבה. מארז: הלחמה+hot-glue (לא breadboard), step drill, מדידת קוטר לפני קידוח</t>
  </si>
  <si>
    <t xml:space="preserve">demo-mode לנפילת רשת (fallback ל-6 APIs)</t>
  </si>
  <si>
    <t xml:space="preserve">המודם עובד (7.7) · היקף ריאלי: graceful degradation — זיהוי ניתוק, הודעת מסך ידידותית, התאוששות אוטומטית · בדיקות: ניתוק מודם ב-idle / באמצע שיחה / באמצע takeaway</t>
  </si>
  <si>
    <t xml:space="preserve">attract-loop + תוכן שיחה לקהל</t>
  </si>
  <si>
    <t xml:space="preserve">edge cases · תשובות ל-100–200 מבקרים</t>
  </si>
  <si>
    <t xml:space="preserve">✅ שליחת מסלול שנבנה למבקר (QR → PDF)</t>
  </si>
  <si>
    <t xml:space="preserve">שכבת must-have הושלמה ואומתה e2e (generate_takeaway→R2→QR→PDF). email נהרג (PII). נותר: trigger דרך Stream Deck + commit · 7.7: QL-800 צעדים 1-4 הושלמו — usb מאומת, brother_ql, QR 25מ"מ נסרק עם URL מלא של R2. תווית הוחלטה 29×29 מגליל רציף DK-22210 (לרכוש; יש sample). נותר צעד 5: חיווט ב-tico_server (~2172/2180) מאחורי feature-flag</t>
  </si>
  <si>
    <t xml:space="preserve">32b</t>
  </si>
  <si>
    <t xml:space="preserve">✅ הדפסת תווית QL-800 + QR פיזי</t>
  </si>
  <si>
    <t xml:space="preserve">מנדטורי · קוד מאפס (אין כיום) · המצע = כרטיס boarding pass (47b)</t>
  </si>
  <si>
    <t xml:space="preserve">✅ אסטרטגיית תקציב TTS (שדרוג מ-NO_TTS)</t>
  </si>
  <si>
    <t xml:space="preserve">✅ eleven_v3 בפרודקשן · נותר: התראת מכסה — הועבר להערת ה-soak</t>
  </si>
  <si>
    <t xml:space="preserve">QA אינטגרציה מלאה (כל הסוכנים e2e)</t>
  </si>
  <si>
    <t xml:space="preserve">✅ 3 מבחני קבלה עברו 21.7 (F14 empty · race לא קיים על 4db530f · takeaway מלא QR+מדבקה). באגים פתוחים: F14 משאיר עמדה תקועה (36i — החמור ביותר) · geocoding בורח מהיעד (36d) · רינדור takeaway ~109ש' (36e) · קוביות מפה client-side (36f) · נעילת שפת-תגובה · STT clamp: תמלול זבל שהגיע למודל (24.7, על AirPods) — סיכון תפעולי לרשום.</t>
  </si>
  <si>
    <t xml:space="preserve">✅ pilot עם משתמשים אמיתיים</t>
  </si>
  <si>
    <t xml:space="preserve">בוצע 21.7 — 6 בודקים (רינה/סמי/מאיר/גיא/ליאת/רחל) על Elgato Wave Neo. 'עבד מעולה רוב הזמן'. לוג מתוזמן נשמר (tico-session-2026-07-21.log). ממצאים→שורות: אודיו-גישור ללטנסי (36c) · 3 באגים (36d/e/f) · ES/FR spike (36g) · backlog משוב (36h). שבת 25.7: 3 בודקים עם Jabra להכרעת מיקרופון (42b).</t>
  </si>
  <si>
    <t xml:space="preserve">36b</t>
  </si>
  <si>
    <t xml:space="preserve">Mac mini deploy: launchd · kiosk · VNC · STT-lock</t>
  </si>
  <si>
    <t xml:space="preserve">אומת במיקום 21.7: boot-to-kiosk, שרת חי, 3 מבחני קבלה, pilot רץ עליו. ✅ נסגרו מאז: שומר מסך (idleTime 0) · PYTHONUNBUFFERED דרך -u ב-ProgramArguments (גיבוי plist.bak-20260724-165153) · נעילת פלט אודיו ל-Jabra לפי שם, commit cac2c00 (ODYSEE_OUT_DEVICE = רשימה מופרדת בפסיקים). ⚠️ נותר: להוסיף את שם דגם אוזניית הגיבוי לרשימה — אחרת הקול יוצא מרמקולי המכונה (סימן בלוג: no device matching 'Jabra' → [system default]) · נוהל "מיקרופון לפני boot" · control.html לא נגיש · הקשחות (cache-buster/שומר-פוקוס/boot.py).</t>
  </si>
  <si>
    <t xml:space="preserve">36c</t>
  </si>
  <si>
    <t xml:space="preserve">✅ אודיו גישור מוקלט מראש — פתרון לטנסי ראשי</t>
  </si>
  <si>
    <t xml:space="preserve">נסגר ונפרס 24.7. v1 (לפי סבב כלים) נכשל — סבבים מגיעים בשרשרת בלי פרוזה, תור אחד ייצר 3 קליפים רצופים. v2 עובד: ההחלטה ב-player_worker, הכלל הוא שקט מצטבר ולא ספירת סבבים — BRIDGE_AFTER_S=3.5 · BRIDGE_REPEAT_S=6.0 · BRIDGE_POLL_S=0.5. ערימה בלתי אפשרית מבנית. commits 3b2e8d3 (קליפים) + 64e5c56 (לוגיקה), נמשכו ל-M4. .gitignore: *.wav הוחרג ל-voice-pipeline/assets/bridge/ — בלעדיו pull היה מביא קוד בלי קליפים. ⚠️ הגישור הוא תחבושת: בתור בן 22ש' נשמעים 3 קליפים באותה המתנה.</t>
  </si>
  <si>
    <t xml:space="preserve">36d</t>
  </si>
  <si>
    <t xml:space="preserve">🐞 באג: geocoding בורח מהיעד</t>
  </si>
  <si>
    <t xml:space="preserve">⚠️ 24.7: זו בעיית דיוק, לא לטנסי — geocode x6 (parallel) = 628-1035ms בכל המדידות. "שוק העיר" (מרוקו) קיבל קואורדינטות אבו דאבי (24.4895, 54.3567): שאילתה גנרית → geocode גלובלי בלי עיגון. תיקון: locationbias סביב dest_lat/lng + פילטר מרחק. ⚠️ חוסם 3 מתוך 4 פריטי הטריאז' (מפה בסיכום · קישור GMaps · המפה ב-PDF) וחשוד כשורש 36f. עדיין לא התחיל.</t>
  </si>
  <si>
    <t xml:space="preserve">36e</t>
  </si>
  <si>
    <t xml:space="preserve">🐞 באג: רינדור takeaway איטי (~109ש')</t>
  </si>
  <si>
    <t xml:space="preserve">F14 עם cache חם → מדבקה = ~109ש' אצל רחל. ⚠️ 25.7: ייתכן שזה אינו באג נפרד אלא השורש של 36i (עמדה תקועה אחרי F14) — אם הרינדור חוסם, "תקוע" הוא בדיוק מה שנראה. חשוד: Playwright. ⚠️ לטפל יחד עם 36e/36h — שלושתם באותה תת-מערכת.</t>
  </si>
  <si>
    <t xml:space="preserve">36f</t>
  </si>
  <si>
    <t xml:space="preserve">🐞 באג: טעינת מפה בקוביות (2/6 בודקים)</t>
  </si>
  <si>
    <t xml:space="preserve">tiles נטענים לאט ובהדרגה. צד-לקוח בלבד — לא מופיע ב-tico-server.log (הדפדפן מושך tiles ישירות). חשודים: (א) רוחב פס במיקום; (ב) קשור ל-geocoding (נקודת אבו דאבי מותחת fitBounds על ~6000ק"מ → זום קיצוני → מבול tiles); (ג) re-fit אחרי כל מנת נקודות. צעדים: לתקן geocoding ולבדוק שוב · מבחן טעינת מפה על רשת HIT לצ'קליסט ההקמה · אופציה עתידית: fitBounds אחד בסוף (app.js, לא לפני שבת).</t>
  </si>
  <si>
    <t xml:space="preserve">36g</t>
  </si>
  <si>
    <t xml:space="preserve">שיחה ב-ES/FR — spike היתכנות (nice-to-have)</t>
  </si>
  <si>
    <t xml:space="preserve">בקשת בודקים 21.7: לשוחח עם Tico בספרדית ובצרפתית. spike היתכנות: STT (זיהוי/נעילת שפה) · LLM · קול TTS ל-ES/FR · נעילת שפת-תגובה. nice-to-have — רק אם יישאר זמן לפני 6.8, לא חוסם את הנתיב הקריטי. אם לא — לפרק 'הדור הבא' בספר.</t>
  </si>
  <si>
    <t xml:space="preserve">36h</t>
  </si>
  <si>
    <t xml:space="preserve">backlog משוב בודקים 21.7</t>
  </si>
  <si>
    <t xml:space="preserve">⚠️ 25.7 סיווג מחדש: "PDF אישי יותר" נרשם כבודק אחד (מאיר) — בפועל לפחות 4 מתוך 6. הטיית תיעוד: מאיר הקליד, האחרים אמרו בעל פה. זהו ממצא של רוב המדגם, חזק משלושת הבאגים שקיבלו סעיף ב-21.7. ⚠️ ההעשרה שייכת לנתיב החם (_schedule_takeaway_warm) ולא לרגע לחיצת F14 — הרחבה ברגע הלחיצה מחמירה את 36e/36i. הנתיב החם אינו מתחרה בייצור (הופרך במדידה מבוקרת 24.7). יתר הפריטים: קישור GMaps (maps/dir/?api=1&amp;waypoints=, בלי API key) · מפה בסיכום — שניהם חסומים על 36d · "planning not booking" מוקדם — משפט בפתיח/שלט, זול ומומלץ.</t>
  </si>
  <si>
    <t xml:space="preserve">36i</t>
  </si>
  <si>
    <t xml:space="preserve">🐞 באג: F14 משאיר את העמדה תקועה</t>
  </si>
  <si>
    <t xml:space="preserve">⚠️ הבאג הפונקציונלי החמור ביותר הפתוח. אחרי לחיצת ה-QR אי אפשר לשאול שאלה — העמדה נראית תקועה. בתערוכה עם תור, המבקר הבא לא יכול להתחיל, ו-F16 הוא מסלול מפעיל (אריאל ושקד לא יעמדו ליד העמדה בכל לחיצה). ⚠️ השערה שדורשת אימות ולא אישור: ייתכן שאינו באג נפרד אלא התסמין של 36e (רינדור ~109ש'). אימות לפני כל תיקון: grep -nE 'F14|takeaway_request|_schedule_takeaway' voice-pipeline/tico_server.py ואז tail -60 ~/Library/Logs/tico-server.log, ואז שחזור חי: F14 → לנסות F13 → למדוד תוך כמה שניות המערכת חוזרת.</t>
  </si>
  <si>
    <t xml:space="preserve">36j</t>
  </si>
  <si>
    <t xml:space="preserve">הגבלת מטען הדיבור — "עד 3 ימים, השאר בהדפסה"</t>
  </si>
  <si>
    <t xml:space="preserve">⚠️ הפעולה היחידה על ליבר הלטנסי שאפשרית לפני 6.8. 24.7 קבע שהליבר הוא מספר הסבבים וגודל המטען, ואיחוד סבבים נדחה לאחרי התערוכה — הגבלת מטען היא שינוי system_prompt בלבד, אפס סיכון ארכיטקטוני. הטריגר: מסלול 21 יום הוקרא במלואו בעוד התור ממתין. גם על-פי התזה: ה-takeaway הוא מקום השלמות, הדיבור הוא מקום המפגש — מלווה לא נואם עשרים דקות. ⚠️ הניסוח חיובי ולא התנצלות: מה שנאמר הוא הטעימה, מה שמודפס הוא המלא.</t>
  </si>
  <si>
    <t xml:space="preserve">36k</t>
  </si>
  <si>
    <t xml:space="preserve">מסך הבית — צבעי כפתורים + נוסח</t>
  </si>
  <si>
    <t xml:space="preserve">✅ החלטת David: מיקרופון → כתום, QR → כחול. המסך משקף את הכפתורים הפיזיים, המבקר מקשר מסך לחומרה בלי הסבר. ⚠️ איזה כחול — Navy 700 #1D3D60 או Navy 500 #3A5D83. אין להמציא כחול מחוץ לטוקנים; להכריע מול צילום ה-LED הפיזי. ⚠️ Tico Orange #E5763C כמילוי בלבד — על רקע בהיר נכשל AA Large (2.79:1); טקסט כתום = Orange 700 #C75D29. נוסח: "לחיצה קצרה" → "לחיצה רגעית" ("קצרה" מזמין את השאלה "כמה קצרה").</t>
  </si>
  <si>
    <t xml:space="preserve">  סרט Hero — Hero Video  ◀ lead-time</t>
  </si>
  <si>
    <t xml:space="preserve">H1</t>
  </si>
  <si>
    <t xml:space="preserve">סרט</t>
  </si>
  <si>
    <t xml:space="preserve">✅ סטילס+הנפשה P1–P10</t>
  </si>
  <si>
    <t xml:space="preserve">משפחת-בית P1–P5 + רחוב/חשיפה P6–P10 · אנטי-דריפט מוכח · מנוע=Grok (Veo גיבוי)</t>
  </si>
  <si>
    <t xml:space="preserve">H2</t>
  </si>
  <si>
    <t xml:space="preserve">סטילס חסרים P11/P13/P14/P8b/P9b</t>
  </si>
  <si>
    <t xml:space="preserve">פרומפטים מוכנים ב-storyboard-v2</t>
  </si>
  <si>
    <t xml:space="preserve">H3</t>
  </si>
  <si>
    <t xml:space="preserve">P12 = זיכרון-אור (החלטת David)</t>
  </si>
  <si>
    <t xml:space="preserve">לא iPad (קו-אדום: מסך=עֵד, לא נהג) · ממתין לאישור חנן 7.7</t>
  </si>
  <si>
    <t xml:space="preserve">H4</t>
  </si>
  <si>
    <t xml:space="preserve">✅ composite הסימן הווקטורי בכל שוט (Motion/AE)</t>
  </si>
  <si>
    <t xml:space="preserve">⚠️ סטטוס בהסקה — לאימות David. הראיה: המאסטר odysee1_-_HD.m4v נוצר 16.7 והוא הסרט הסופי שפרוס ומאומת על ה-i7.</t>
  </si>
  <si>
    <t xml:space="preserve">H5</t>
  </si>
  <si>
    <t xml:space="preserve">✅ HD re-export P6–P10 + נרמול AR ל-16:9</t>
  </si>
  <si>
    <t xml:space="preserve">המאסטר: ~/Downloads/odysee1_-_HD.m4v — 63.13 שניות (1:03) · 1920×1080 · 24fps · 9.7 Mbps · 78MB · נוצר 16.7 · מגובה ל-iCloud + Time Machine. ⚠️ "ODYSEE-FINAL" באורך 1:24 אינה קיימת ואינה רלוונטית — השאלה נסגרה 25.7. FCP לא מייצא mp4 בלי Compressor (Apple Devices → m4v, Export File → mov); ה-remux דרך ffmpeg הוא הפתרון הנכון וגם זורק זרם mjpeg של עטיפה.</t>
  </si>
  <si>
    <t xml:space="preserve">H6</t>
  </si>
  <si>
    <t xml:space="preserve">✅ מוזיקה/פס-קול + מיקס VO</t>
  </si>
  <si>
    <t xml:space="preserve">⚠️ סטטוס בהסקה — לאימות David. הראיה: הסרט על ה-i7 אינו muted ויש לו פסקול (אומת 25.7 מול הקובץ הקנוני).</t>
  </si>
  <si>
    <t xml:space="preserve">H7</t>
  </si>
  <si>
    <t xml:space="preserve">✅ נרמול אודיו + פריסה ל-i7</t>
  </si>
  <si>
    <t xml:space="preserve">נסגר 25.7. הממצא: intro.mp4 ב--27.2 LUFS מול הסרט ב--16.5 — פער 10.7 LU בלולאה אחת עם מגבר אחד ובלי ידית עוצמה למבקר. הסרט גם חתך ב-+1.3 dBFS. התיקון: ffmpeg -c:v copy (אפס דור נוסף) + loudnorm=I=-18:TP=-1.5:LRA=11 -ar 48000. ל-intro נוסף pan=stereo לפני ה-loudnorm — הוא היה מונו, וקובץ מונו שנמדד -18 נשמע -15 כשהנגן מכפיל אותו. תוצאה: -18.4 מול -17.7 LUFS = פער 0.7 LU, מבחן אוזן עבר. commit 388b573. ⚠️ מי שמחליף אחד מהקבצים חייב לנרמל באותם פרמטרים בדיוק, אחרת הפער חוזר. ⚠️ display/media/hero.mp4 מוזנח מגיט (78MB) — פריסה ל-i7 היא תמיד העתקה ידנית.</t>
  </si>
  <si>
    <t xml:space="preserve">H8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</si>
  <si>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</si>
  <si>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</si>
  <si>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</si>
  <si>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</si>
  <si>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</si>
  <si>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 · 14.7: צפוי להיסגר היום</t>
  </si>
  <si>
    <t xml:space="preserve">✅ קביעת דגם Mac mini + גודל מסך</t>
  </si>
  <si>
    <t xml:space="preserve">HW</t>
  </si>
  <si>
    <t xml:space="preserve">לחישוב חשמל מדויק</t>
  </si>
  <si>
    <t xml:space="preserve">41b</t>
  </si>
  <si>
    <t xml:space="preserve">❄️ החלפת מסכים — הוקפא: live נשאר 24″ · הדמיות נשאר 32″</t>
  </si>
  <si>
    <t xml:space="preserve">הוקפא 19.7 (החלטת David): בדיקות המשתמשים 21.7 על ה-24″ הקיים; הגדלה תיבחן רק אם יישאר זמן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</si>
  <si>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</si>
  <si>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 · לדיון 14.7 ערב</t>
  </si>
  <si>
    <t xml:space="preserve">42b</t>
  </si>
  <si>
    <t xml:space="preserve">✅ הכרעת מיקרופון: Jabra (סופי)</t>
  </si>
  <si>
    <t xml:space="preserve">הוכרע 24.7 — Jabra Evolve2 30, סופי. הרקע: המיקרופון הפתוח (Elgato) קלט את רחל מדברת עם אמא שלה ו-Tico ענה לזה; באולם תערוכה כל צופה שמדבר הופך לקלט. Jabra צמוד-פה חוסם בדיוק את זה. ⚠️ הקלט נשאר על ברירת המחדל של המערכת בכוונה — נעילת ODYSEE_MIC_DEVICE הייתה שוברת את המעבר לאוזניות גיבוי.</t>
  </si>
  <si>
    <t xml:space="preserve">✅ קבלת מודם סלולרי</t>
  </si>
  <si>
    <t xml:space="preserve">~שבועיים — חוסם בדיקת demo-mode · 7.7: המודם ביד. בדיקה מיידית: אותו prompt על מודם מול Wi-Fi HIT — בקמפוס איטי משמעותית מהבית</t>
  </si>
  <si>
    <t xml:space="preserve">מיפוי סופי + אישור חשמל/UPS מול האוצרת</t>
  </si>
  <si>
    <t xml:space="preserve">שקע 230V מוארק + UPS · 19.7: הדמיית drawio הוצגה ליעל בזום. ⚠️ מידות עודכנו 25.7 ונכנסו לפרק 7: קיר קאפה 3.6 (היה 3.3) · שטח עמדה 3.6 (היה 3.5) · מסך live 32״ (היה 24) · מסך הדמיות 40״ (היה 32).</t>
  </si>
  <si>
    <t xml:space="preserve">44b</t>
  </si>
  <si>
    <t xml:space="preserve">✅ קונסטרוקציית רקע/קיר — יעד החלטה</t>
  </si>
  <si>
    <t xml:space="preserve">יעד להחלטת כיוון (מפושט) · לא ביצוע · חוסם מדבקת-קיר + טופס בטיחות</t>
  </si>
  <si>
    <t xml:space="preserve">✅ עיצוב פוסטר 1.2×0.8 (פורטרט)</t>
  </si>
  <si>
    <t xml:space="preserve">גודל סופי 120×80 (נסגר 17.7) · 19.7: C2 נבחר, mockup עם הסימן האמיתי הופק · נותר: טקסטים סופיים מהספר, שם מנחה, QR אמיתי · 23.7: הושלם — agents-flat-v4 שולב, הכותרת ירדה, QR תוקן ל-https://odysee.me</t>
  </si>
  <si>
    <t xml:space="preserve">46b</t>
  </si>
  <si>
    <t xml:space="preserve">מדבקת קיר — לוח המראות (בגודל מלא)</t>
  </si>
  <si>
    <t xml:space="preserve">artwork בגודל מלא — ⚠️ לוודא מידות ה"חלון" מול המסכים החדשים (32"/49") לפני דפוס</t>
  </si>
  <si>
    <t xml:space="preserve">46c</t>
  </si>
  <si>
    <t xml:space="preserve">לופ הודעות — 2 מסכי 15″ + סטרימרים</t>
  </si>
  <si>
    <t xml:space="preserve">⚠️ 25.7: הגישה הוכרעה והתרחבה לשלוש משימות (46e/46f/46g). המסכים מציגים כרטיס הודעה בלבד ולא את הלוח — זה מבטל את בעיית השעון (board.html עוגן ל-Date.now() בכל שורת טיסה, לא רק בווידג'ט). סטרימר עם קובץ מקומי = אפס תלות באינטרנט. ⚠️ מבחן קריאוּת: 15.6״ = 345 מ״מ, 0.18 מ״מ/px ב-1080p. הוכרע גופן גוף 50px (6.4 מ״מ) — קריא מ-1.85 עד 1.90 מ׳. הסרטונים תקפים בכל גובה שייבחר בהקמה, כלומר התלות החוסמת בין ההפקה לתלייה מנוטרלת.</t>
  </si>
  <si>
    <t xml:space="preserve">46e</t>
  </si>
  <si>
    <t xml:space="preserve">הודעות פופאפ — 40 קיימות → יעד 60</t>
  </si>
  <si>
    <t xml:space="preserve">מצב: 40 בקובץ (24 יציאות + 16 נחיתות) · 10 טיוטות נכתבו 25.7, הכיוון אושר, ⚠️ עדיין לא בקובץ · חסרות ~10. ⚠️ למה 60 ולא 120: התוכנית 21+19 בלי חפיפה = בדיוק 40, אפס עודף — הודעה אחת שנפסלת שוברת אותה. ולמה 120 מזיק: התבניות כבר נראות ב-24 ("סידרתי את היום כך ש..." ×3, "כרטיסים אוזלים" ×4) · ⚠️ סחף מהתזה — 40 ההודעות הקיימות כולן חישה של העולם ואף אחת לא קוראת פנימה; בכתיבת 80 בלחץ "נראה לי שאתה עייף" ייכנס כמעט בהכרח, על מסך שתלוי בחלל שטוען את ההפך · המבקר לא יראה את ההבדל. פתוח: פיצול יציאות/נחיתות (הטיוטות מטות ל-34/26). קטגוריות חדשות שנפתחו: תשתית · חלונות זמן · לוח שנה מקומי · כללי מקום · עונתיות · לוגיסטיקה.</t>
  </si>
  <si>
    <t xml:space="preserve">46f</t>
  </si>
  <si>
    <t xml:space="preserve">הפקת שני סרטוני הלוח (Playwright + ffmpeg)</t>
  </si>
  <si>
    <t xml:space="preserve">⚠️ לא הופק פריים אחד. הפקה, לא הקלטת מסך: (1) עמוד HTML של כרטיס בודד 1920×1080, גוף 50px, בלי הלוח (2) Playwright מייצר PNG לכל הודעה (3) ffmpeg מרכיב ב-concat עם משכים מדויקים. ספירת פריימים מדויקת, אפס דריפט, רנדר מחדש בשנייה אם הגופן משתנה. ⚠️ showPopup בוחר rnd(set) בזמן ריצה — בווידאו האקראיות קורית פעם אחת בבנייה, עם זרע קבוע כדי שרנדר חוזר ייתן אותה רשימה; מספרי הטיסה מוטבעים. ⚠️ קצב, לא אורך: 315 מול 285 שניות נותן 315÷21=15 ו-285÷19=15 — אותו קצב בדיוק, שני המסכים יחליפו הודעה באותו רגע תמיד. ההצעה: 15 שנ׳ מול 16 שנ׳ (315 מול 304) — מתלכדים פעם ב-240 שניות לפריים בודד. ⚠️ הלולאה מתחילה ומסתיימת במצב הריק ורונדרים פריימים 0..N-1 — "פריים אחרון = פריים ראשון" יוצר פריים כפול ומיקרו-קפיצה. ⚠️ אם אין פסקול — לייצר בלי טראק אודיו כלל, לא עם שקט (טראק שקט = נקודת כשל בסטרימר בלי תמורה).</t>
  </si>
  <si>
    <t xml:space="preserve">46g</t>
  </si>
  <si>
    <t xml:space="preserve">תלייה + 5 מבחנים תפעוליים למסכי 15″</t>
  </si>
  <si>
    <t xml:space="preserve">המלצה: 1.75 מ׳ כקצה תחתון (מרכז ~1.85). חמישה מבחנים: (1) האם המסך נדלק לבד אחרי החזרת חשמל (2) האם הסטרימר מנגן בלולאה לבד אחרי ניתוק (3) overscan (4) בהירות (5) הטיה. ⚠️ שקע חכם אינו פותר את 1–2 — הוא שולט בחשמל, לא בכפתור ההפעלה. קודם לבדוק, אחר כך להחליט על רכש. ⚠️ המתקן שנרכש נותן 15° הטיה בלבד. שאלת תכנון פתוחה: האם ה-15″ הם מידע שנקרא או סצנוגרפיה שיוצרת אווירת שדה תעופה — ההערכה: סצנוגרפיה. מבקר שקורא 40 הודעות טיסה במקום להתעסק עם Tico הוא מבקר שהתערוכה איבדה.</t>
  </si>
  <si>
    <t xml:space="preserve">46d</t>
  </si>
  <si>
    <t xml:space="preserve">החלטת תוכן מסך הדמיות (7 אובייקטים) → build</t>
  </si>
  <si>
    <t xml:space="preserve">✅ 25.7: הקנוני אותר (Demo Display/player.html, 15.7 11:02 — עם ORDER [1,3,4,5,6,7,2,8]) · פאץ' המנוע הוחל ונדחף (baf63b3): setInterval(dead.clear(), RETRY_MS) — dead היה בלתי הפיך ואין מקלדת, כשל רגעי הסיר מסך ליום שלם · CONFIG.HOLD={4:19000}. בית חדש: display/ בריפו (לא board/ — board = לוח ה-15״, display = מסך ההדמיות). ⚠️ נותר: מסכים 5·6·7 placeholder, מסך 4 דורש כיוונון. סדר: 4 → 3 → 5 → 7 → 6. רשת ביטחון: כרטיס placeholder אינו חור, הוא שקופית טקסט.</t>
  </si>
  <si>
    <t xml:space="preserve">46h</t>
  </si>
  <si>
    <t xml:space="preserve">הטמעת מסכים 3+4 ב-player.html → פריסה שנייה ל-i7</t>
  </si>
  <si>
    <t xml:space="preserve">⚠️ מסך 3 (screen3-questions-dev.html) כתוב, בדוק וקומיט — חסר רק העברת הבלוק פנימה. מסך 4 דורש כיוונון. אימות: grep -c 'immigration' player.html → 0 כרגע, 1 אחרי ההטמעה. אחריו AirDrop של קובץ אחד (10KB) ל-i7 ואימות ב-grep. ⚠️ ~/odysee-display אינו ריפו גיט (git rev-parse → NOT_A_GIT_REPO) — פריסה לשם היא תמיד העתקה ידנית, לתמיד, ולעולם לא git pull. כלל פריסה: mv הישן ל-.old-YYYYMMDD ולא לדרוס — חזרה אחורה בשלוש פקודות. ⚠️ מסך 3 בכוונה בלי הפנים ובלי איפוס טיקר בכניסה: המסך הוא קולו של המבקר ולא של Tico, ופנים במרכז מוקפות בשאלות = אורקל, סותר את התזה.</t>
  </si>
  <si>
    <t xml:space="preserve">46i</t>
  </si>
  <si>
    <t xml:space="preserve">✅ i7 autostart — הפריט שנגרר מ-15.7</t>
  </si>
  <si>
    <t xml:space="preserve">נסגר 25.7. המצב שנמצא: ~/Library/LaunchAgents הכיל רק plists של Google, launchctl ריק, אין Login Items — שום דבר לא הפעיל את הקיוסק, לא בהפעלה ולא בכלל. FileVault Off ✓ (התנאי המסוכן ביותר). ⚠️ displaysleep היה 180 — המסך היה נכבה אחרי 3 שעות גם בלי שומר מסך. נבנה ~/odysee-kiosk/start-display.sh עם caffeinate -dimsu (פותר שומר מסך ו-displaysleep יחד, בלי תצורה גלובלית שנשכחת) + exec (חובה עם KeepAlive — סקריפט שיוצא מיד יוצר לולאת שיגור אינסופית) + ללא until curl (ל-i7 אין שרת, הוא טוען file://). שני המבחנים עברו כולל ריבוט מלא — הלולאה חזרה לבד בלי מקלדת. סוגר מבחנים 1 ו-2 מתוך החמישה התפעוליים. ⚠️ KeepAlive מלכודת בפיתוח: Cmd+Q לא עוצר; עצירה = launchctl bootout gui/$(id -u)/me.odysee.display.</t>
  </si>
  <si>
    <t xml:space="preserve">46j</t>
  </si>
  <si>
    <t xml:space="preserve">⚠️ גיבוי kiosk ל-display/kiosk/ בריפו</t>
  </si>
  <si>
    <t xml:space="preserve">⚠️ start-display.sh ו-me.odysee.display.plist קיימים רק על ה-i7 ואין להם גיבוי בשום ריפו. הם קוד, לא תצורה — דיסק שנופל מוחק אותם. להעתיק ל-display/kiosk/ ולקמט. אימות: ls display/kiosk/ 2&gt;/dev/null || echo MISSING.</t>
  </si>
  <si>
    <t xml:space="preserve">46k</t>
  </si>
  <si>
    <t xml:space="preserve">עדכון display/README.md — 3 סעיפים מטעים</t>
  </si>
  <si>
    <t xml:space="preserve">שלושה סעיפים בוצעו 25.7 בערב וה-README עדיין סותר אותם: "Missing asset - media/hero.mp4" · "Not verified against the i7" · "DO NOT deploy toward the i7". לעדכן בקומיט נפרד. אימות: grep -n 'Missing asset' display/README.md.</t>
  </si>
  <si>
    <t xml:space="preserve">QR/הדפסת מסלול — takeaway פיזי למבקר</t>
  </si>
  <si>
    <t xml:space="preserve">פריסת הדפסה/QR; תלוי בפיצ'ר ה-export (משימה 32) · 7.7: חבילת דפוס דו-צדדית סופית — FRONT-v4 (ברקוד הוסר, שדה 30×30, הסימן נשאר) + BACK חדש (lockup + odysee.me) + brief v2. דו-צדדי אושר מול בית הדפוס — לשלוח עדכון הזמנה</t>
  </si>
  <si>
    <t xml:space="preserve">47b</t>
  </si>
  <si>
    <t xml:space="preserve">הזמנת הדפסת כרטיסי boarding pass</t>
  </si>
  <si>
    <t xml:space="preserve">מול בית דפוס · מצע פיזי לתווית QL-800 (32b) · עיצוב תלוי בפריסת takeaway · הוזמן · צפי הגעה ~20.7</t>
  </si>
  <si>
    <t xml:space="preserve">47c</t>
  </si>
  <si>
    <t xml:space="preserve">רכש: גליל DK-22210 (רציף 29) + סטנד כרטיסים</t>
  </si>
  <si>
    <t xml:space="preserve">גליל רציף 29מ"מ (לא die-cut) לתווית 29×29 — יש sample לבדיקת תבנית · סטנד ברושורים לשולחן (חנן 7.7) · 14.7: 2 גלילים נאספים היום · נותר: סטנד כרטיסים</t>
  </si>
  <si>
    <t xml:space="preserve">הדפסת קאפות (לוח יציאות) — נשלח לדפוס</t>
  </si>
  <si>
    <t xml:space="preserve">23.7: שלושת ה-PDF ‏(david_0546009000_120x240_1..3, ‏v2 שולי 2מ"מ אפויים) נשלחו למדפיס · cutouts אומתו פיזית · אין חיתוכים במפעל — David חותך במקום (CUTLINES.pdf v2) · איסוף: שני 27.7 · 810₪+מע"מ</t>
  </si>
  <si>
    <t xml:space="preserve">הרכבת חומרה + בדיקות</t>
  </si>
  <si>
    <t xml:space="preserve">שני 27.7: הדרכת גובה 09:00 → איסוף ציוד + קאפה · שלישי 28.7: קונסטרוקציית קאפה. מסך 40״ הדמיות · Jabra · כפתורים (VESA-plate מתחת למסך, ~35° מעלה) · ✅ מדבקות כפתורים הודבקו 22.7, test-fit עבר. ⚠️ כלי חיתוך לקאפה לרשימת הציוד: סכין יפנית חדה + סרגל מתכת + חור-התחלה לעיגול. ⚠️ כלל תכנון שהתגלה 25.7: אובייקט הבולט יותר מ-100 מ״מ מקיר צריך להיות מתחת ל-0.68 מ׳ או מעל ~2.03 מ׳ (ראשים) — לכן 1.75 מ׳ כקצה תחתון של מסכי ה-15״, לא כמרכז.</t>
  </si>
  <si>
    <t xml:space="preserve">50</t>
  </si>
  <si>
    <t xml:space="preserve">✅ דימויים ליח"צ (לוח HIT)</t>
  </si>
  <si>
    <t xml:space="preserve">נסגר 19.7: לוגו Tico הועבר — מספיק בשלב זה</t>
  </si>
  <si>
    <t xml:space="preserve">50b</t>
  </si>
  <si>
    <t xml:space="preserve">תוכנית חשמל לגילת — נקודות לעמדה</t>
  </si>
  <si>
    <t xml:space="preserve">מסמך נבנה 19.7 (docx + סקיצת מבט-על, bidi תקין) · ציוד: M4 · 24″ live תלוי · 32″ הדמיות+i7 · QL-800 · 2×15″ USB · מודם · UPS · 617W≈2.7A · נותר: שליחה לגילת עד 20.7</t>
  </si>
  <si>
    <t xml:space="preserve">50c</t>
  </si>
  <si>
    <t xml:space="preserve">טבלת דרישות ציוד חשמל + הדמיה</t>
  </si>
  <si>
    <t xml:space="preserve">רק ציוד: כבלים/מפצלים + הדמיה ופרטים אישיים</t>
  </si>
  <si>
    <t xml:space="preserve">51</t>
  </si>
  <si>
    <t xml:space="preserve">✅ שליחת פוסטר לאישור יעל</t>
  </si>
  <si>
    <t xml:space="preserve">תנאי: אישור מנחה — חנן אישר קונספט 16.7 ✓ · ✅ יעל אישרה 24.7 בבוקר. אחריה בוצע סבב עקביות מלא מול נספח א.2 שתפס 5 שמות ספקים בדיוניים ואת טענת "END-TO-END &lt; 3s" (הלוג נותן 6.0-6.5ש' בטוב ו-15-20 בבנייה) — הוסרה.</t>
  </si>
  <si>
    <t xml:space="preserve">51b</t>
  </si>
  <si>
    <t xml:space="preserve">✅ שליחת קובץ פוסטר למירי</t>
  </si>
  <si>
    <t xml:space="preserve">נשלח 25.7 — odysee-poster-final-v4.pdf. אומת: 80.00×120.02 ס״מ · 9449×14175px = 300 PPI מדויק · אין SMask ואין /Group · ארבעת הקצוות נייבי אטום · sRGB. QR הופק מחדש (המקור היה 1.03 מודולים אזור שקט מול 4 בתקן) — 1998×1998, Version 3, ECC H, מפענח ל-https://odysee.me. ⚠️ עמוד ה-PDF מצהיר 80×120 — אבל עדיין לכתוב "80×120" בגוף ההודעה למירי. ⚠️ שאלת הבליד פתוחה → 51c.</t>
  </si>
  <si>
    <t xml:space="preserve">51c</t>
  </si>
  <si>
    <t xml:space="preserve">שאלת הבליד למירי — דורש ייצוא נוסף</t>
  </si>
  <si>
    <t xml:space="preserve">⚠️ בליד ×2 — פוסטר (מירי) וספר (בית דפוס). שניהם דורשים ייצוא נוסף ואף אחד מהם אינו סגור עד שיש תשובה. אין לסמן את 51b כסגור סופית לפני זה.</t>
  </si>
  <si>
    <t xml:space="preserve">52</t>
  </si>
  <si>
    <t xml:space="preserve">קבלת חדר התערוכה + עבודות מלכלכות</t>
  </si>
  <si>
    <t xml:space="preserve">23.7: ב-24.7 ניקיון בלבד — אין צורך בנוכחות David. ⚠️ מיום ראשון 26.7 מותר להתמקם בחדר; David מגיע שני 27.7 אחרי הדרכת הגובה.</t>
  </si>
  <si>
    <t xml:space="preserve">52b</t>
  </si>
  <si>
    <t xml:space="preserve">הדרכת גובה 09:00</t>
  </si>
  <si>
    <t xml:space="preserve">דוד · שלומי · גילת · פליקס</t>
  </si>
  <si>
    <t xml:space="preserve">52c</t>
  </si>
  <si>
    <t xml:space="preserve">חשמלאי באתר — יוסי ישורון</t>
  </si>
  <si>
    <t xml:space="preserve">עבודות רועשות מותרות רק ב-2.8, לא ב-3.8</t>
  </si>
  <si>
    <t xml:space="preserve">52d</t>
  </si>
  <si>
    <t xml:space="preserve">מצגת הגשה (כיתה 101)</t>
  </si>
  <si>
    <t xml:space="preserve">~שעתיים · על בסיס דקים קיימים (v10)</t>
  </si>
  <si>
    <t xml:space="preserve">52e</t>
  </si>
  <si>
    <t xml:space="preserve">משמרות ליווי במתחם — שיריון</t>
  </si>
  <si>
    <t xml:space="preserve">מול אריאל ושקד</t>
  </si>
  <si>
    <t xml:space="preserve">52g</t>
  </si>
  <si>
    <t xml:space="preserve">מקלדת + מסך בארון התערוכה</t>
  </si>
  <si>
    <t xml:space="preserve">⚠️ Screen Sharing ו-Remote Login כבויים ב-i7 (ssh odysee@Macmini.local נכשל), ו-sudo חסום ל-odysee בכוונה. חצי שעה אבדה 25.7 לניסיון שליטה מרחוק כשה-i7 היה שני מטרים משם. מסקנה מבצעית: גישה פיזית היא חלק מהתוכנית, לא כישלון שלה — מקלדת ומסך בארון. רלוונטי גם ל-M4: הרשת בתערוכה תדרוש הזנת סיסמה ידנית פעם אחת.</t>
  </si>
  <si>
    <t xml:space="preserve">52h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</si>
  <si>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</si>
  <si>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</si>
  <si>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</si>
  <si>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</si>
  <si>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</t>
  </si>
  <si>
    <t xml:space="preserve">יום שלישי 16.6 · deck v10 + presenter notes מוכנים · חזרה אחרונה 15.6 ערב · האתר לא מוצג</t>
  </si>
  <si>
    <t xml:space="preserve">54b</t>
  </si>
  <si>
    <t xml:space="preserve">📌 הצגת video board לחנן</t>
  </si>
  <si>
    <t xml:space="preserve">יעד סיום board 06.07 · הצגת זיכרון-אור (במקום iPad) לאישור</t>
  </si>
  <si>
    <t xml:space="preserve">54c</t>
  </si>
  <si>
    <t xml:space="preserve">📌 אישור אוצרת — קיר/מידות/מיקום</t>
  </si>
  <si>
    <t xml:space="preserve">חוסם הדפסת קאפות לוח היציאות</t>
  </si>
  <si>
    <t xml:space="preserve">54d</t>
  </si>
  <si>
    <t xml:space="preserve">📌 תחילת soak 14 ימים</t>
  </si>
  <si>
    <t xml:space="preserve">על ה-Mac mini, ללא השגחה. ⚠️ נקטע 21.7 לשינוע לבדיקות, נצבר בפועל ~3 ימים ולא שבוע. ⚠️ מתאפס שוב בראשון 26.7 בגלל bootout מתוכנן למשתני המיקרופון — אין סיבה לשלם את זה פעמיים, לאחד את כל שינויי ה-env לפריסה אחת.</t>
  </si>
  <si>
    <t xml:space="preserve">✅ 📌 הקפאת ספר</t>
  </si>
  <si>
    <t xml:space="preserve">נסגר 25.7 בצהריים. build נקי, 3 קומיטים אטומיים, נדחף origin/main @ 253e4c3. ⚠️ main.tex פריז — כל שינוי לגרסה המודפסת נגמר כאן; שינויים נוספים נכנסים רק לגרסה הדיגיטלית של 30.8.</t>
  </si>
  <si>
    <t xml:space="preserve">55b</t>
  </si>
  <si>
    <t xml:space="preserve">📌 קובץ ספר נמסר לבית דפוס</t>
  </si>
  <si>
    <t xml:space="preserve">⚠️ אבן הדרך שקובעת אם עותק התצוגה קיים ב-4.8. 3–5 ימי עבודה + 1–3 משלוח: מסירה 27.7 ⇒ נחיתה 2–3.8 ⇒ יום באפר אחד. כל יום איחור אוכל את הבאפר במלואו. חסום על שיחת בית הדפוס (11d) ועל קובץ הכריכה (11e).</t>
  </si>
  <si>
    <t xml:space="preserve">📌 dry-run מלא בתנאי תערוכה</t>
  </si>
  <si>
    <t xml:space="preserve">ריצה מלאה כמו יום הפתיחה</t>
  </si>
  <si>
    <t xml:space="preserve">56c</t>
  </si>
  <si>
    <t xml:space="preserve">📌 ביקורת ג'ורי במקום (מיצב עובד ~90%)</t>
  </si>
  <si>
    <t xml:space="preserve">יומיים לפני הפתיחה, במקום, על מיצב מונח ועובד (חנן 7.7) — הדדליין האפקטיבי של "הכל עובד"</t>
  </si>
  <si>
    <t xml:space="preserve">📌 הגשה סופית + מצגת (כיתה 101)</t>
  </si>
  <si>
    <t xml:space="preserve">SUBMIT</t>
  </si>
  <si>
    <t xml:space="preserve">ההגשה בכיתה 101 — מומלץ מצגת · הספר עצמו: דיגיטלית עד 30.8</t>
  </si>
  <si>
    <t xml:space="preserve">📌 פתיחת תערוכה</t>
  </si>
  <si>
    <t xml:space="preserve">LIVE</t>
  </si>
  <si>
    <t xml:space="preserve">57b</t>
  </si>
  <si>
    <t xml:space="preserve">📌 הגשת ספר דיגיטלית לעדי</t>
  </si>
  <si>
    <t xml:space="preserve">adifr@hit.ac.il · לא חלק מהתערוכה · שינויים אחרי הדפוס — דיגיטלית בלבד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</si>
  <si>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</si>
  <si>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</si>
  <si>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</si>
  <si>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</si>
  <si>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</si>
  <si>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</si>
  <si>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</si>
  <si>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freeze ✅ 25.7 (253e4c3) · ⚠️ Lupa בוטלה — עותק התצוגה עבר לבית דפוס (11d), ותוצר חדש נדרש: קובץ כריכה (11e) החסום על רוחב השדרה. מסירה 27.7 ⇒ נחיתה 2–3.8 ⇒ באפר של יום אחד לפני הג׳ורי. הגשה דיגיטלית 30.8 נפרדת ומקבלת את סעיף הפיילוט (11g).</t>
  </si>
  <si>
    <t xml:space="preserve">מיגרציה + design-system + agents ✅ · נותר: פונט/favicon, איחוד טוקנים, QA, ו-20b — מעבר עקביות ספר↔אתר לפני עלייה לאוויר (28.7–1.8), כולל exhibition.html שעדיין מחזיק 3.5 מ׳ ו-24″ מול פרק 7 המעודכן. חייב להסתיים לפני 4.8.</t>
  </si>
  <si>
    <t xml:space="preserve">אפליקציה + דמו</t>
  </si>
  <si>
    <t xml:space="preserve">✅ pilot 21.7 (6 בודקים) · 36c אודיו-גישור נפרס 24.7 · חקירת הלטנסי נסגרה: אין רכיב דומיננטי, הליבר הוא מספר הסבבים וגודל המטען, ואיחוד סבבים נדחה לאחרי התערוכה. ⚠️ הפתוח החמור: 36i (F14 משאיר עמדה תקועה) — ייתכן שהוא אותו שורש כמו 36e (~109ש'), ושניהם באותה תת-מערכת עם עיבוי ה-takeaway (36h, ממצא 4/6). 36d geocoding עדיין לא התחיל וחוסם 3 פריטי טריאז'. הפעולה היחידה על הלטנסי לפני 6.8 = 36j (הגבלת מטען, system_prompt בלבד).</t>
  </si>
  <si>
    <t xml:space="preserve">סרט Hero</t>
  </si>
  <si>
    <t xml:space="preserve">סגור. המאסטר odysee1_-_HD.m4v (1:03) פרוס ומאומת על ה-i7, אודיו מנורמל ל--17.7 LUFS. ⚠️ סטטוס H4/H6 בהסקה — לאימות David.</t>
  </si>
  <si>
    <t xml:space="preserve">תערוכה / לוגיסטיקה</t>
  </si>
  <si>
    <t xml:space="preserve">פוסטר סופי אצל מירי (⚠️ בליד פתוח, 51c) · קאפה בדפוס, איסוף 27.7 · Jabra הוכרע · ✅ i7 autostart נסגר · ⚠️ הטראק שהתפוצץ: מסכי ה-15″ — 20 הודעות חסרות, אפס פריימים הופקו, ותלייה + 5 מבחנים תפעוליים. גובה 27.7 · קונסטרוקציית קאפה 28.7 · חשמלאי 2–3.8.</t>
  </si>
  <si>
    <t xml:space="preserve">אבני דרך</t>
  </si>
  <si>
    <t xml:space="preserve">freeze ✅ 25.7 · ⚠️ 55b חדש: קובץ ספר לבית דפוס 27.7 — קובע אם עותק התצוגה קיים ב-4.8 · soak מתאפס 26.7 (bootout מתוכנן) · dry-run 3.8 · ג׳ורי במקום 4.8 · פתיחה 6.8 · ספר דיגיטלי 30.8.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</si>
</sst>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FreeSan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333333"/>
      </patternFill>
    </fill>
    <fill>
      <patternFill patternType="solid">
        <fgColor rgb="FF0A0F22"/>
        <bgColor rgb="FF0E142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660066"/>
      <rgbColor rgb="FFFF8080"/>
      <rgbColor rgb="FF0066CC"/>
      <rgbColor rgb="FFE4DDD0"/>
      <rgbColor rgb="FF0709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5CF6"/>
      <rgbColor rgb="FFC8A44A"/>
      <rgbColor rgb="FF003366"/>
      <rgbColor rgb="FF339966"/>
      <rgbColor rgb="FF0E1428"/>
      <rgbColor rgb="FF3D2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31" activeCellId="0" sqref="A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13" t="n">
        <v>6</v>
      </c>
      <c r="B10" s="14" t="s">
        <v>11</v>
      </c>
      <c r="C10" s="15" t="s">
        <v>22</v>
      </c>
      <c r="D10" s="16" t="n">
        <v>46183</v>
      </c>
      <c r="E10" s="16" t="n">
        <v>46227</v>
      </c>
      <c r="F10" s="13" t="n">
        <f aca="false">E10-D10+1</f>
        <v>45</v>
      </c>
      <c r="G10" s="17" t="s">
        <v>23</v>
      </c>
      <c r="H10" s="15" t="s">
        <v>24</v>
      </c>
    </row>
    <row r="11" customFormat="false" ht="15" hidden="false" customHeight="true" outlineLevel="0" collapsed="false">
      <c r="A11" s="8" t="s">
        <v>25</v>
      </c>
      <c r="B11" s="9" t="s">
        <v>11</v>
      </c>
      <c r="C11" s="10" t="s">
        <v>26</v>
      </c>
      <c r="D11" s="11" t="n">
        <v>46186</v>
      </c>
      <c r="E11" s="11" t="n">
        <v>46191</v>
      </c>
      <c r="F11" s="8" t="n">
        <f aca="false">E11-D11+1</f>
        <v>6</v>
      </c>
      <c r="G11" s="12" t="s">
        <v>13</v>
      </c>
      <c r="H11" s="10" t="s">
        <v>27</v>
      </c>
    </row>
    <row r="12" customFormat="false" ht="15" hidden="false" customHeight="true" outlineLevel="0" collapsed="false">
      <c r="A12" s="13" t="n">
        <v>7</v>
      </c>
      <c r="B12" s="14" t="s">
        <v>11</v>
      </c>
      <c r="C12" s="15" t="s">
        <v>28</v>
      </c>
      <c r="D12" s="16" t="n">
        <v>46188</v>
      </c>
      <c r="E12" s="16" t="n">
        <v>46227</v>
      </c>
      <c r="F12" s="13" t="n">
        <f aca="false">E12-D12+1</f>
        <v>40</v>
      </c>
      <c r="G12" s="17" t="s">
        <v>29</v>
      </c>
      <c r="H12" s="15" t="s">
        <v>30</v>
      </c>
    </row>
    <row r="13" customFormat="false" ht="15" hidden="false" customHeight="true" outlineLevel="0" collapsed="false">
      <c r="A13" s="8" t="n">
        <v>8</v>
      </c>
      <c r="B13" s="9" t="s">
        <v>11</v>
      </c>
      <c r="C13" s="10" t="s">
        <v>31</v>
      </c>
      <c r="D13" s="11" t="n">
        <v>46218</v>
      </c>
      <c r="E13" s="11" t="n">
        <v>46227</v>
      </c>
      <c r="F13" s="8" t="n">
        <f aca="false">E13-D13+1</f>
        <v>10</v>
      </c>
      <c r="G13" s="12" t="s">
        <v>23</v>
      </c>
      <c r="H13" s="10" t="s">
        <v>32</v>
      </c>
    </row>
    <row r="14" customFormat="false" ht="15" hidden="false" customHeight="true" outlineLevel="0" collapsed="false">
      <c r="A14" s="13" t="n">
        <v>9</v>
      </c>
      <c r="B14" s="14" t="s">
        <v>11</v>
      </c>
      <c r="C14" s="15" t="s">
        <v>33</v>
      </c>
      <c r="D14" s="16" t="n">
        <v>46211</v>
      </c>
      <c r="E14" s="16" t="n">
        <v>46221</v>
      </c>
      <c r="F14" s="13" t="n">
        <f aca="false">E14-D14+1</f>
        <v>11</v>
      </c>
      <c r="G14" s="17" t="s">
        <v>13</v>
      </c>
      <c r="H14" s="15" t="s">
        <v>34</v>
      </c>
    </row>
    <row r="15" customFormat="false" ht="15" hidden="false" customHeight="true" outlineLevel="0" collapsed="false">
      <c r="A15" s="8" t="n">
        <v>10</v>
      </c>
      <c r="B15" s="9" t="s">
        <v>11</v>
      </c>
      <c r="C15" s="10" t="s">
        <v>35</v>
      </c>
      <c r="D15" s="11" t="n">
        <v>46218</v>
      </c>
      <c r="E15" s="11" t="n">
        <v>46223</v>
      </c>
      <c r="F15" s="8" t="n">
        <f aca="false">E15-D15+1</f>
        <v>6</v>
      </c>
      <c r="G15" s="12" t="s">
        <v>13</v>
      </c>
      <c r="H15" s="10" t="s">
        <v>36</v>
      </c>
    </row>
    <row r="16" customFormat="false" ht="15" hidden="false" customHeight="true" outlineLevel="0" collapsed="false">
      <c r="A16" s="8" t="s">
        <v>37</v>
      </c>
      <c r="B16" s="9" t="s">
        <v>11</v>
      </c>
      <c r="C16" s="10" t="s">
        <v>38</v>
      </c>
      <c r="D16" s="11" t="n">
        <v>46218</v>
      </c>
      <c r="E16" s="11" t="n">
        <v>46227</v>
      </c>
      <c r="F16" s="8" t="n">
        <f aca="false">E16-D16+1</f>
        <v>10</v>
      </c>
      <c r="G16" s="12" t="s">
        <v>18</v>
      </c>
      <c r="H16" s="10" t="s">
        <v>39</v>
      </c>
    </row>
    <row r="17" customFormat="false" ht="15" hidden="false" customHeight="true" outlineLevel="0" collapsed="false">
      <c r="A17" s="13" t="n">
        <v>11</v>
      </c>
      <c r="B17" s="14" t="s">
        <v>11</v>
      </c>
      <c r="C17" s="15" t="s">
        <v>40</v>
      </c>
      <c r="D17" s="16" t="n">
        <v>46223</v>
      </c>
      <c r="E17" s="16" t="n">
        <v>46228</v>
      </c>
      <c r="F17" s="13" t="n">
        <f aca="false">E17-D17+1</f>
        <v>6</v>
      </c>
      <c r="G17" s="17" t="s">
        <v>23</v>
      </c>
      <c r="H17" s="15" t="s">
        <v>41</v>
      </c>
    </row>
    <row r="18" customFormat="false" ht="14.25" hidden="false" customHeight="true" outlineLevel="0" collapsed="false">
      <c r="A18" s="13" t="s">
        <v>42</v>
      </c>
      <c r="B18" s="14" t="s">
        <v>11</v>
      </c>
      <c r="C18" s="15" t="s">
        <v>43</v>
      </c>
      <c r="D18" s="16" t="n">
        <v>46230</v>
      </c>
      <c r="E18" s="16" t="n">
        <v>46237</v>
      </c>
      <c r="F18" s="13" t="n">
        <f aca="false">E18-D18+1</f>
        <v>8</v>
      </c>
      <c r="G18" s="17" t="s">
        <v>44</v>
      </c>
      <c r="H18" s="15" t="s">
        <v>45</v>
      </c>
    </row>
    <row r="19" customFormat="false" ht="15" hidden="false" customHeight="true" outlineLevel="0" collapsed="false">
      <c r="A19" s="13" t="s">
        <v>46</v>
      </c>
      <c r="B19" s="14" t="s">
        <v>11</v>
      </c>
      <c r="C19" s="15" t="s">
        <v>47</v>
      </c>
      <c r="D19" s="16" t="n">
        <v>46228</v>
      </c>
      <c r="E19" s="16" t="n">
        <v>46228</v>
      </c>
      <c r="F19" s="13" t="n">
        <f aca="false">E19-D19+1</f>
        <v>1</v>
      </c>
      <c r="G19" s="17" t="s">
        <v>44</v>
      </c>
      <c r="H19" s="15" t="s">
        <v>48</v>
      </c>
    </row>
    <row r="20" customFormat="false" ht="15" hidden="false" customHeight="true" outlineLevel="0" collapsed="false">
      <c r="A20" s="13" t="s">
        <v>49</v>
      </c>
      <c r="B20" s="14" t="s">
        <v>11</v>
      </c>
      <c r="C20" s="15" t="s">
        <v>50</v>
      </c>
      <c r="D20" s="16" t="n">
        <v>46229</v>
      </c>
      <c r="E20" s="16" t="n">
        <v>46237</v>
      </c>
      <c r="F20" s="13" t="n">
        <f aca="false">E20-D20+1</f>
        <v>9</v>
      </c>
      <c r="G20" s="17" t="s">
        <v>44</v>
      </c>
      <c r="H20" s="15" t="s">
        <v>51</v>
      </c>
    </row>
    <row r="21" customFormat="false" ht="15" hidden="false" customHeight="true" outlineLevel="0" collapsed="false">
      <c r="A21" s="13" t="s">
        <v>52</v>
      </c>
      <c r="B21" s="14" t="s">
        <v>11</v>
      </c>
      <c r="C21" s="15" t="s">
        <v>53</v>
      </c>
      <c r="D21" s="16" t="n">
        <v>46230</v>
      </c>
      <c r="E21" s="16" t="n">
        <v>46232</v>
      </c>
      <c r="F21" s="13" t="n">
        <f aca="false">E21-D21+1</f>
        <v>3</v>
      </c>
      <c r="G21" s="17" t="s">
        <v>18</v>
      </c>
      <c r="H21" s="15" t="s">
        <v>54</v>
      </c>
    </row>
    <row r="22" customFormat="false" ht="15" hidden="false" customHeight="true" outlineLevel="0" collapsed="false">
      <c r="A22" s="13" t="s">
        <v>55</v>
      </c>
      <c r="B22" s="14" t="s">
        <v>11</v>
      </c>
      <c r="C22" s="15" t="s">
        <v>56</v>
      </c>
      <c r="D22" s="16" t="n">
        <v>46230</v>
      </c>
      <c r="E22" s="16" t="n">
        <v>46231</v>
      </c>
      <c r="F22" s="13" t="n">
        <f aca="false">E22-D22+1</f>
        <v>2</v>
      </c>
      <c r="G22" s="17" t="s">
        <v>57</v>
      </c>
      <c r="H22" s="15" t="s">
        <v>58</v>
      </c>
    </row>
    <row r="23" customFormat="false" ht="15" hidden="false" customHeight="true" outlineLevel="0" collapsed="false">
      <c r="A23" s="13" t="s">
        <v>59</v>
      </c>
      <c r="B23" s="14" t="s">
        <v>11</v>
      </c>
      <c r="C23" s="15" t="s">
        <v>60</v>
      </c>
      <c r="D23" s="16" t="n">
        <v>46241</v>
      </c>
      <c r="E23" s="16" t="n">
        <v>46264</v>
      </c>
      <c r="F23" s="13" t="n">
        <f aca="false">E23-D23+1</f>
        <v>24</v>
      </c>
      <c r="G23" s="17" t="s">
        <v>29</v>
      </c>
      <c r="H23" s="15" t="s">
        <v>61</v>
      </c>
    </row>
    <row r="24" customFormat="false" ht="1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</row>
    <row r="25" customFormat="false" ht="15" hidden="false" customHeight="true" outlineLevel="0" collapsed="false">
      <c r="A25" s="19" t="s">
        <v>62</v>
      </c>
    </row>
    <row r="26" customFormat="false" ht="15" hidden="false" customHeight="true" outlineLevel="0" collapsed="false">
      <c r="A26" s="8" t="n">
        <v>13</v>
      </c>
      <c r="B26" s="9" t="s">
        <v>63</v>
      </c>
      <c r="C26" s="10" t="s">
        <v>64</v>
      </c>
      <c r="D26" s="11" t="n">
        <v>46160</v>
      </c>
      <c r="E26" s="11" t="n">
        <v>46165</v>
      </c>
      <c r="F26" s="8" t="n">
        <f aca="false">E26-D26+1</f>
        <v>6</v>
      </c>
      <c r="G26" s="12" t="s">
        <v>18</v>
      </c>
      <c r="H26" s="10" t="s">
        <v>65</v>
      </c>
    </row>
    <row r="27" customFormat="false" ht="15" hidden="false" customHeight="true" outlineLevel="0" collapsed="false">
      <c r="A27" s="13" t="n">
        <v>14</v>
      </c>
      <c r="B27" s="14" t="s">
        <v>63</v>
      </c>
      <c r="C27" s="15" t="s">
        <v>66</v>
      </c>
      <c r="D27" s="16" t="n">
        <v>46171</v>
      </c>
      <c r="E27" s="16" t="n">
        <v>46171</v>
      </c>
      <c r="F27" s="13" t="n">
        <f aca="false">E27-D27+1</f>
        <v>1</v>
      </c>
      <c r="G27" s="17" t="s">
        <v>18</v>
      </c>
      <c r="H27" s="15" t="s">
        <v>67</v>
      </c>
    </row>
    <row r="28" customFormat="false" ht="15" hidden="false" customHeight="true" outlineLevel="0" collapsed="false">
      <c r="A28" s="8" t="n">
        <v>15</v>
      </c>
      <c r="B28" s="9" t="s">
        <v>63</v>
      </c>
      <c r="C28" s="10" t="s">
        <v>68</v>
      </c>
      <c r="D28" s="11" t="n">
        <v>46176</v>
      </c>
      <c r="E28" s="11" t="n">
        <v>46185</v>
      </c>
      <c r="F28" s="8" t="n">
        <f aca="false">E28-D28+1</f>
        <v>10</v>
      </c>
      <c r="G28" s="12" t="s">
        <v>18</v>
      </c>
      <c r="H28" s="10" t="s">
        <v>69</v>
      </c>
    </row>
    <row r="29" customFormat="false" ht="14.25" hidden="false" customHeight="true" outlineLevel="0" collapsed="false">
      <c r="A29" s="13" t="n">
        <v>16</v>
      </c>
      <c r="B29" s="14" t="s">
        <v>63</v>
      </c>
      <c r="C29" s="15" t="s">
        <v>70</v>
      </c>
      <c r="D29" s="16" t="n">
        <v>46177</v>
      </c>
      <c r="E29" s="16" t="n">
        <v>46179</v>
      </c>
      <c r="F29" s="13" t="n">
        <f aca="false">E29-D29+1</f>
        <v>3</v>
      </c>
      <c r="G29" s="17" t="s">
        <v>71</v>
      </c>
      <c r="H29" s="15" t="s">
        <v>72</v>
      </c>
    </row>
    <row r="30" customFormat="false" ht="15" hidden="false" customHeight="true" outlineLevel="0" collapsed="false">
      <c r="A30" s="8" t="n">
        <v>17</v>
      </c>
      <c r="B30" s="9" t="s">
        <v>63</v>
      </c>
      <c r="C30" s="10" t="s">
        <v>73</v>
      </c>
      <c r="D30" s="11" t="n">
        <v>46183</v>
      </c>
      <c r="E30" s="11" t="n">
        <v>46187</v>
      </c>
      <c r="F30" s="8" t="n">
        <f aca="false">E30-D30+1</f>
        <v>5</v>
      </c>
      <c r="G30" s="12" t="s">
        <v>57</v>
      </c>
      <c r="H30" s="10" t="s">
        <v>74</v>
      </c>
    </row>
    <row r="31" customFormat="false" ht="15" hidden="false" customHeight="true" outlineLevel="0" collapsed="false">
      <c r="A31" s="13" t="n">
        <v>18</v>
      </c>
      <c r="B31" s="14" t="s">
        <v>63</v>
      </c>
      <c r="C31" s="15" t="s">
        <v>75</v>
      </c>
      <c r="D31" s="16" t="n">
        <v>46185</v>
      </c>
      <c r="E31" s="16" t="n">
        <v>46191</v>
      </c>
      <c r="F31" s="13" t="n">
        <f aca="false">E31-D31+1</f>
        <v>7</v>
      </c>
      <c r="G31" s="17" t="s">
        <v>57</v>
      </c>
      <c r="H31" s="15" t="s">
        <v>76</v>
      </c>
    </row>
    <row r="32" customFormat="false" ht="15" hidden="false" customHeight="true" outlineLevel="0" collapsed="false">
      <c r="A32" s="8" t="n">
        <v>19</v>
      </c>
      <c r="B32" s="9" t="s">
        <v>63</v>
      </c>
      <c r="C32" s="10" t="s">
        <v>77</v>
      </c>
      <c r="D32" s="11" t="n">
        <v>46201</v>
      </c>
      <c r="E32" s="11" t="n">
        <v>46213</v>
      </c>
      <c r="F32" s="8" t="n">
        <f aca="false">E32-D32+1</f>
        <v>13</v>
      </c>
      <c r="G32" s="12" t="s">
        <v>18</v>
      </c>
      <c r="H32" s="10" t="s">
        <v>78</v>
      </c>
    </row>
    <row r="33" customFormat="false" ht="15" hidden="false" customHeight="true" outlineLevel="0" collapsed="false">
      <c r="A33" s="13" t="n">
        <v>20</v>
      </c>
      <c r="B33" s="14" t="s">
        <v>63</v>
      </c>
      <c r="C33" s="15" t="s">
        <v>79</v>
      </c>
      <c r="D33" s="16" t="n">
        <v>46215</v>
      </c>
      <c r="E33" s="16" t="n">
        <v>46221</v>
      </c>
      <c r="F33" s="13" t="n">
        <f aca="false">E33-D33+1</f>
        <v>7</v>
      </c>
      <c r="G33" s="17" t="s">
        <v>80</v>
      </c>
      <c r="H33" s="15"/>
    </row>
    <row r="34" customFormat="false" ht="15" hidden="false" customHeight="true" outlineLevel="0" collapsed="false">
      <c r="A34" s="13" t="s">
        <v>81</v>
      </c>
      <c r="B34" s="14" t="s">
        <v>63</v>
      </c>
      <c r="C34" s="15" t="s">
        <v>82</v>
      </c>
      <c r="D34" s="16" t="n">
        <v>46231</v>
      </c>
      <c r="E34" s="16" t="n">
        <v>46235</v>
      </c>
      <c r="F34" s="13" t="n">
        <f aca="false">E34-D34+1</f>
        <v>5</v>
      </c>
      <c r="G34" s="17" t="s">
        <v>80</v>
      </c>
      <c r="H34" s="15" t="s">
        <v>83</v>
      </c>
    </row>
    <row r="35" customFormat="false" ht="15" hidden="false" customHeight="true" outlineLevel="0" collapsed="false">
      <c r="A35" s="20" t="n">
        <v>21</v>
      </c>
      <c r="B35" s="20"/>
      <c r="C35" s="20"/>
      <c r="D35" s="20"/>
      <c r="E35" s="20"/>
      <c r="F35" s="20"/>
      <c r="G35" s="20"/>
      <c r="H35" s="20"/>
    </row>
    <row r="36" customFormat="false" ht="1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</row>
    <row r="37" customFormat="false" ht="15" hidden="false" customHeight="true" outlineLevel="0" collapsed="false">
      <c r="A37" s="19" t="s">
        <v>84</v>
      </c>
    </row>
    <row r="38" customFormat="false" ht="15" hidden="false" customHeight="true" outlineLevel="0" collapsed="false">
      <c r="A38" s="13" t="n">
        <v>23</v>
      </c>
      <c r="B38" s="14" t="s">
        <v>85</v>
      </c>
      <c r="C38" s="15" t="s">
        <v>86</v>
      </c>
      <c r="D38" s="16" t="n">
        <v>46143</v>
      </c>
      <c r="E38" s="16" t="n">
        <v>46170</v>
      </c>
      <c r="F38" s="13" t="n">
        <f aca="false">E38-D38+1</f>
        <v>28</v>
      </c>
      <c r="G38" s="17" t="s">
        <v>57</v>
      </c>
      <c r="H38" s="15" t="s">
        <v>87</v>
      </c>
    </row>
    <row r="39" customFormat="false" ht="15" hidden="false" customHeight="true" outlineLevel="0" collapsed="false">
      <c r="A39" s="8" t="n">
        <v>24</v>
      </c>
      <c r="B39" s="9" t="s">
        <v>85</v>
      </c>
      <c r="C39" s="10" t="s">
        <v>88</v>
      </c>
      <c r="D39" s="11" t="n">
        <v>46143</v>
      </c>
      <c r="E39" s="11" t="n">
        <v>46170</v>
      </c>
      <c r="F39" s="8" t="n">
        <f aca="false">E39-D39+1</f>
        <v>28</v>
      </c>
      <c r="G39" s="12" t="s">
        <v>89</v>
      </c>
      <c r="H39" s="10"/>
    </row>
    <row r="40" customFormat="false" ht="15" hidden="false" customHeight="true" outlineLevel="0" collapsed="false">
      <c r="A40" s="13" t="n">
        <v>25</v>
      </c>
      <c r="B40" s="14" t="s">
        <v>85</v>
      </c>
      <c r="C40" s="15" t="s">
        <v>90</v>
      </c>
      <c r="D40" s="16" t="n">
        <v>46171</v>
      </c>
      <c r="E40" s="16" t="n">
        <v>46171</v>
      </c>
      <c r="F40" s="13" t="n">
        <f aca="false">E40-D40+1</f>
        <v>1</v>
      </c>
      <c r="G40" s="17" t="s">
        <v>57</v>
      </c>
      <c r="H40" s="15" t="s">
        <v>91</v>
      </c>
    </row>
    <row r="41" customFormat="false" ht="15" hidden="false" customHeight="true" outlineLevel="0" collapsed="false">
      <c r="A41" s="8" t="n">
        <v>26</v>
      </c>
      <c r="B41" s="9" t="s">
        <v>85</v>
      </c>
      <c r="C41" s="10" t="s">
        <v>92</v>
      </c>
      <c r="D41" s="11" t="n">
        <v>46176</v>
      </c>
      <c r="E41" s="11" t="n">
        <v>46221</v>
      </c>
      <c r="F41" s="8" t="n">
        <f aca="false">E41-D41+1</f>
        <v>46</v>
      </c>
      <c r="G41" s="12" t="s">
        <v>18</v>
      </c>
      <c r="H41" s="10" t="s">
        <v>93</v>
      </c>
    </row>
    <row r="42" customFormat="false" ht="15" hidden="false" customHeight="true" outlineLevel="0" collapsed="false">
      <c r="A42" s="13" t="n">
        <v>27</v>
      </c>
      <c r="B42" s="14" t="s">
        <v>85</v>
      </c>
      <c r="C42" s="15" t="s">
        <v>94</v>
      </c>
      <c r="D42" s="16" t="n">
        <v>46181</v>
      </c>
      <c r="E42" s="16" t="n">
        <v>46191</v>
      </c>
      <c r="F42" s="13" t="n">
        <f aca="false">E42-D42+1</f>
        <v>11</v>
      </c>
      <c r="G42" s="17" t="s">
        <v>57</v>
      </c>
      <c r="H42" s="15" t="s">
        <v>95</v>
      </c>
    </row>
    <row r="43" customFormat="false" ht="14.25" hidden="false" customHeight="true" outlineLevel="0" collapsed="false">
      <c r="A43" s="8" t="n">
        <v>28</v>
      </c>
      <c r="B43" s="9" t="s">
        <v>85</v>
      </c>
      <c r="C43" s="10" t="s">
        <v>96</v>
      </c>
      <c r="D43" s="11" t="n">
        <v>46183</v>
      </c>
      <c r="E43" s="11" t="n">
        <v>46189</v>
      </c>
      <c r="F43" s="8" t="n">
        <f aca="false">E43-D43+1</f>
        <v>7</v>
      </c>
      <c r="G43" s="12" t="s">
        <v>57</v>
      </c>
      <c r="H43" s="10" t="s">
        <v>97</v>
      </c>
    </row>
    <row r="44" customFormat="false" ht="15" hidden="false" customHeight="true" outlineLevel="0" collapsed="false">
      <c r="A44" s="13" t="n">
        <v>29</v>
      </c>
      <c r="B44" s="14" t="s">
        <v>85</v>
      </c>
      <c r="C44" s="15" t="s">
        <v>98</v>
      </c>
      <c r="D44" s="16" t="n">
        <v>46187</v>
      </c>
      <c r="E44" s="16" t="n">
        <v>46201</v>
      </c>
      <c r="F44" s="13" t="n">
        <f aca="false">E44-D44+1</f>
        <v>15</v>
      </c>
      <c r="G44" s="17" t="s">
        <v>23</v>
      </c>
      <c r="H44" s="15" t="s">
        <v>99</v>
      </c>
    </row>
    <row r="45" customFormat="false" ht="15" hidden="false" customHeight="true" outlineLevel="0" collapsed="false">
      <c r="A45" s="8" t="n">
        <v>30</v>
      </c>
      <c r="B45" s="9" t="s">
        <v>85</v>
      </c>
      <c r="C45" s="10" t="s">
        <v>100</v>
      </c>
      <c r="D45" s="11" t="n">
        <v>46218</v>
      </c>
      <c r="E45" s="11" t="n">
        <v>46222</v>
      </c>
      <c r="F45" s="8" t="n">
        <f aca="false">E45-D45+1</f>
        <v>5</v>
      </c>
      <c r="G45" s="12" t="s">
        <v>23</v>
      </c>
      <c r="H45" s="10" t="s">
        <v>101</v>
      </c>
    </row>
    <row r="46" customFormat="false" ht="15" hidden="false" customHeight="true" outlineLevel="0" collapsed="false">
      <c r="A46" s="13" t="n">
        <v>31</v>
      </c>
      <c r="B46" s="14" t="s">
        <v>85</v>
      </c>
      <c r="C46" s="15" t="s">
        <v>102</v>
      </c>
      <c r="D46" s="16" t="n">
        <v>46218</v>
      </c>
      <c r="E46" s="16" t="n">
        <v>46227</v>
      </c>
      <c r="F46" s="13" t="n">
        <f aca="false">E46-D46+1</f>
        <v>10</v>
      </c>
      <c r="G46" s="17" t="s">
        <v>29</v>
      </c>
      <c r="H46" s="15" t="s">
        <v>103</v>
      </c>
    </row>
    <row r="47" customFormat="false" ht="15" hidden="false" customHeight="true" outlineLevel="0" collapsed="false">
      <c r="A47" s="8" t="n">
        <v>32</v>
      </c>
      <c r="B47" s="9" t="s">
        <v>85</v>
      </c>
      <c r="C47" s="10" t="s">
        <v>104</v>
      </c>
      <c r="D47" s="11" t="n">
        <v>46188</v>
      </c>
      <c r="E47" s="11" t="n">
        <v>46196</v>
      </c>
      <c r="F47" s="8" t="n">
        <f aca="false">E47-D47+1</f>
        <v>9</v>
      </c>
      <c r="G47" s="12" t="s">
        <v>57</v>
      </c>
      <c r="H47" s="10" t="s">
        <v>105</v>
      </c>
    </row>
    <row r="48" customFormat="false" ht="15" hidden="false" customHeight="true" outlineLevel="0" collapsed="false">
      <c r="A48" s="13" t="s">
        <v>106</v>
      </c>
      <c r="B48" s="14" t="s">
        <v>85</v>
      </c>
      <c r="C48" s="15" t="s">
        <v>107</v>
      </c>
      <c r="D48" s="16" t="n">
        <v>46209</v>
      </c>
      <c r="E48" s="16" t="n">
        <v>46216</v>
      </c>
      <c r="F48" s="13" t="n">
        <f aca="false">E48-D48+1</f>
        <v>8</v>
      </c>
      <c r="G48" s="17" t="s">
        <v>57</v>
      </c>
      <c r="H48" s="15" t="s">
        <v>108</v>
      </c>
    </row>
    <row r="49" customFormat="false" ht="15" hidden="false" customHeight="true" outlineLevel="0" collapsed="false">
      <c r="A49" s="8" t="n">
        <v>33</v>
      </c>
      <c r="B49" s="9" t="s">
        <v>85</v>
      </c>
      <c r="C49" s="10" t="s">
        <v>109</v>
      </c>
      <c r="D49" s="11" t="n">
        <v>46208</v>
      </c>
      <c r="E49" s="11" t="n">
        <v>46213</v>
      </c>
      <c r="F49" s="8" t="n">
        <f aca="false">E49-D49+1</f>
        <v>6</v>
      </c>
      <c r="G49" s="12" t="s">
        <v>23</v>
      </c>
      <c r="H49" s="10" t="s">
        <v>110</v>
      </c>
    </row>
    <row r="50" customFormat="false" ht="15" hidden="false" customHeight="true" outlineLevel="0" collapsed="false">
      <c r="A50" s="8" t="n">
        <v>35</v>
      </c>
      <c r="B50" s="9" t="s">
        <v>85</v>
      </c>
      <c r="C50" s="10" t="s">
        <v>111</v>
      </c>
      <c r="D50" s="11" t="n">
        <v>46216</v>
      </c>
      <c r="E50" s="11" t="n">
        <v>46225</v>
      </c>
      <c r="F50" s="8" t="n">
        <f aca="false">E50-D50+1</f>
        <v>10</v>
      </c>
      <c r="G50" s="12" t="s">
        <v>80</v>
      </c>
      <c r="H50" s="10" t="s">
        <v>112</v>
      </c>
    </row>
    <row r="51" customFormat="false" ht="15" hidden="false" customHeight="true" outlineLevel="0" collapsed="false">
      <c r="A51" s="13" t="n">
        <v>36</v>
      </c>
      <c r="B51" s="14" t="s">
        <v>85</v>
      </c>
      <c r="C51" s="15" t="s">
        <v>113</v>
      </c>
      <c r="D51" s="16" t="n">
        <v>46224</v>
      </c>
      <c r="E51" s="16" t="n">
        <v>46224</v>
      </c>
      <c r="F51" s="13" t="n">
        <f aca="false">E51-D51+1</f>
        <v>1</v>
      </c>
      <c r="G51" s="17" t="s">
        <v>23</v>
      </c>
      <c r="H51" s="15" t="s">
        <v>114</v>
      </c>
    </row>
    <row r="52" customFormat="false" ht="15" hidden="false" customHeight="true" outlineLevel="0" collapsed="false">
      <c r="A52" s="13" t="s">
        <v>115</v>
      </c>
      <c r="B52" s="14" t="s">
        <v>85</v>
      </c>
      <c r="C52" s="15" t="s">
        <v>116</v>
      </c>
      <c r="D52" s="16" t="n">
        <v>46217</v>
      </c>
      <c r="E52" s="16" t="n">
        <v>46222</v>
      </c>
      <c r="F52" s="13" t="n">
        <f aca="false">E52-D52+1</f>
        <v>6</v>
      </c>
      <c r="G52" s="17" t="s">
        <v>23</v>
      </c>
      <c r="H52" s="15" t="s">
        <v>117</v>
      </c>
    </row>
    <row r="53" customFormat="false" ht="15" hidden="false" customHeight="true" outlineLevel="0" collapsed="false">
      <c r="A53" s="8" t="s">
        <v>118</v>
      </c>
      <c r="B53" s="9" t="s">
        <v>85</v>
      </c>
      <c r="C53" s="10" t="s">
        <v>119</v>
      </c>
      <c r="D53" s="11" t="n">
        <v>46225</v>
      </c>
      <c r="E53" s="11" t="n">
        <v>46227</v>
      </c>
      <c r="F53" s="8" t="n">
        <f aca="false">E53-D53+1</f>
        <v>3</v>
      </c>
      <c r="G53" s="12" t="s">
        <v>57</v>
      </c>
      <c r="H53" s="10" t="s">
        <v>120</v>
      </c>
    </row>
    <row r="54" customFormat="false" ht="15" hidden="false" customHeight="true" outlineLevel="0" collapsed="false">
      <c r="A54" s="13" t="s">
        <v>121</v>
      </c>
      <c r="B54" s="14" t="s">
        <v>85</v>
      </c>
      <c r="C54" s="15" t="s">
        <v>122</v>
      </c>
      <c r="D54" s="16" t="n">
        <v>46225</v>
      </c>
      <c r="E54" s="16" t="n">
        <v>46239</v>
      </c>
      <c r="F54" s="13" t="n">
        <f aca="false">E54-D54+1</f>
        <v>15</v>
      </c>
      <c r="G54" s="17" t="s">
        <v>71</v>
      </c>
      <c r="H54" s="15" t="s">
        <v>123</v>
      </c>
    </row>
    <row r="55" customFormat="false" ht="15" hidden="false" customHeight="true" outlineLevel="0" collapsed="false">
      <c r="A55" s="8" t="s">
        <v>124</v>
      </c>
      <c r="B55" s="9" t="s">
        <v>85</v>
      </c>
      <c r="C55" s="10" t="s">
        <v>125</v>
      </c>
      <c r="D55" s="11" t="n">
        <v>46225</v>
      </c>
      <c r="E55" s="11" t="n">
        <v>46239</v>
      </c>
      <c r="F55" s="8" t="n">
        <f aca="false">E55-D55+1</f>
        <v>15</v>
      </c>
      <c r="G55" s="12" t="s">
        <v>71</v>
      </c>
      <c r="H55" s="10" t="s">
        <v>126</v>
      </c>
    </row>
    <row r="56" customFormat="false" ht="15" hidden="false" customHeight="true" outlineLevel="0" collapsed="false">
      <c r="A56" s="13" t="s">
        <v>127</v>
      </c>
      <c r="B56" s="14" t="s">
        <v>85</v>
      </c>
      <c r="C56" s="15" t="s">
        <v>128</v>
      </c>
      <c r="D56" s="16" t="n">
        <v>46225</v>
      </c>
      <c r="E56" s="16" t="n">
        <v>46239</v>
      </c>
      <c r="F56" s="13" t="n">
        <f aca="false">E56-D56+1</f>
        <v>15</v>
      </c>
      <c r="G56" s="17" t="s">
        <v>71</v>
      </c>
      <c r="H56" s="15" t="s">
        <v>129</v>
      </c>
    </row>
    <row r="57" customFormat="false" ht="15" hidden="false" customHeight="true" outlineLevel="0" collapsed="false">
      <c r="A57" s="8" t="s">
        <v>130</v>
      </c>
      <c r="B57" s="9" t="s">
        <v>85</v>
      </c>
      <c r="C57" s="10" t="s">
        <v>131</v>
      </c>
      <c r="D57" s="11" t="n">
        <v>46225</v>
      </c>
      <c r="E57" s="11" t="n">
        <v>46239</v>
      </c>
      <c r="F57" s="8" t="n">
        <f aca="false">E57-D57+1</f>
        <v>15</v>
      </c>
      <c r="G57" s="12" t="s">
        <v>57</v>
      </c>
      <c r="H57" s="10" t="s">
        <v>132</v>
      </c>
    </row>
    <row r="58" customFormat="false" ht="15" hidden="false" customHeight="true" outlineLevel="0" collapsed="false">
      <c r="A58" s="13" t="s">
        <v>133</v>
      </c>
      <c r="B58" s="14" t="s">
        <v>85</v>
      </c>
      <c r="C58" s="15" t="s">
        <v>134</v>
      </c>
      <c r="D58" s="16" t="n">
        <v>46225</v>
      </c>
      <c r="E58" s="16" t="n">
        <v>46239</v>
      </c>
      <c r="F58" s="13" t="n">
        <f aca="false">E58-D58+1</f>
        <v>15</v>
      </c>
      <c r="G58" s="17" t="s">
        <v>29</v>
      </c>
      <c r="H58" s="15" t="s">
        <v>135</v>
      </c>
    </row>
    <row r="59" customFormat="false" ht="15" hidden="false" customHeight="true" outlineLevel="0" collapsed="false">
      <c r="A59" s="13" t="s">
        <v>136</v>
      </c>
      <c r="B59" s="14" t="s">
        <v>85</v>
      </c>
      <c r="C59" s="15" t="s">
        <v>137</v>
      </c>
      <c r="D59" s="16" t="n">
        <v>46229</v>
      </c>
      <c r="E59" s="16" t="n">
        <v>46233</v>
      </c>
      <c r="F59" s="13" t="n">
        <f aca="false">E59-D59+1</f>
        <v>5</v>
      </c>
      <c r="G59" s="17" t="s">
        <v>71</v>
      </c>
      <c r="H59" s="15" t="s">
        <v>138</v>
      </c>
    </row>
    <row r="60" customFormat="false" ht="15" hidden="false" customHeight="true" outlineLevel="0" collapsed="false">
      <c r="A60" s="13" t="s">
        <v>139</v>
      </c>
      <c r="B60" s="14" t="s">
        <v>85</v>
      </c>
      <c r="C60" s="15" t="s">
        <v>140</v>
      </c>
      <c r="D60" s="16" t="n">
        <v>46229</v>
      </c>
      <c r="E60" s="16" t="n">
        <v>46231</v>
      </c>
      <c r="F60" s="13" t="n">
        <f aca="false">E60-D60+1</f>
        <v>3</v>
      </c>
      <c r="G60" s="17" t="s">
        <v>29</v>
      </c>
      <c r="H60" s="15" t="s">
        <v>141</v>
      </c>
    </row>
    <row r="61" customFormat="false" ht="15" hidden="false" customHeight="true" outlineLevel="0" collapsed="false">
      <c r="A61" s="13" t="s">
        <v>142</v>
      </c>
      <c r="B61" s="14" t="s">
        <v>85</v>
      </c>
      <c r="C61" s="15" t="s">
        <v>143</v>
      </c>
      <c r="D61" s="16" t="n">
        <v>46229</v>
      </c>
      <c r="E61" s="16" t="n">
        <v>46232</v>
      </c>
      <c r="F61" s="13" t="n">
        <f aca="false">E61-D61+1</f>
        <v>4</v>
      </c>
      <c r="G61" s="17" t="s">
        <v>18</v>
      </c>
      <c r="H61" s="15" t="s">
        <v>144</v>
      </c>
    </row>
    <row r="62" customFormat="false" ht="15" hidden="false" customHeight="true" outlineLevel="0" collapsed="false">
      <c r="A62" s="20" t="n">
        <v>37</v>
      </c>
      <c r="B62" s="20"/>
      <c r="C62" s="20"/>
      <c r="D62" s="20"/>
      <c r="E62" s="20"/>
      <c r="F62" s="20"/>
      <c r="G62" s="20"/>
      <c r="H62" s="20"/>
    </row>
    <row r="63" customFormat="false" ht="1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</row>
    <row r="64" customFormat="false" ht="15" hidden="false" customHeight="true" outlineLevel="0" collapsed="false">
      <c r="A64" s="19" t="s">
        <v>145</v>
      </c>
    </row>
    <row r="65" customFormat="false" ht="15" hidden="false" customHeight="true" outlineLevel="0" collapsed="false">
      <c r="A65" s="13" t="s">
        <v>146</v>
      </c>
      <c r="B65" s="14" t="s">
        <v>147</v>
      </c>
      <c r="C65" s="15" t="s">
        <v>148</v>
      </c>
      <c r="D65" s="16" t="n">
        <v>46193</v>
      </c>
      <c r="E65" s="16" t="n">
        <v>46204</v>
      </c>
      <c r="F65" s="13" t="n">
        <f aca="false">E65-D65+1</f>
        <v>12</v>
      </c>
      <c r="G65" s="17" t="s">
        <v>18</v>
      </c>
      <c r="H65" s="15" t="s">
        <v>149</v>
      </c>
    </row>
    <row r="66" customFormat="false" ht="15" hidden="false" customHeight="true" outlineLevel="0" collapsed="false">
      <c r="A66" s="8" t="s">
        <v>150</v>
      </c>
      <c r="B66" s="9" t="s">
        <v>147</v>
      </c>
      <c r="C66" s="10" t="s">
        <v>151</v>
      </c>
      <c r="D66" s="11" t="n">
        <v>46207</v>
      </c>
      <c r="E66" s="11" t="n">
        <v>46208</v>
      </c>
      <c r="F66" s="8" t="n">
        <f aca="false">E66-D66+1</f>
        <v>2</v>
      </c>
      <c r="G66" s="12" t="s">
        <v>18</v>
      </c>
      <c r="H66" s="10" t="s">
        <v>152</v>
      </c>
    </row>
    <row r="67" customFormat="false" ht="15" hidden="false" customHeight="true" outlineLevel="0" collapsed="false">
      <c r="A67" s="13" t="s">
        <v>153</v>
      </c>
      <c r="B67" s="14" t="s">
        <v>147</v>
      </c>
      <c r="C67" s="15" t="s">
        <v>154</v>
      </c>
      <c r="D67" s="16" t="n">
        <v>46206</v>
      </c>
      <c r="E67" s="16" t="n">
        <v>46206</v>
      </c>
      <c r="F67" s="13" t="n">
        <f aca="false">E67-D67+1</f>
        <v>1</v>
      </c>
      <c r="G67" s="17" t="s">
        <v>23</v>
      </c>
      <c r="H67" s="15" t="s">
        <v>155</v>
      </c>
    </row>
    <row r="68" customFormat="false" ht="15" hidden="false" customHeight="true" outlineLevel="0" collapsed="false">
      <c r="A68" s="8" t="s">
        <v>156</v>
      </c>
      <c r="B68" s="9" t="s">
        <v>147</v>
      </c>
      <c r="C68" s="10" t="s">
        <v>157</v>
      </c>
      <c r="D68" s="11" t="n">
        <v>46207</v>
      </c>
      <c r="E68" s="11" t="n">
        <v>46219</v>
      </c>
      <c r="F68" s="8" t="n">
        <f aca="false">E68-D68+1</f>
        <v>13</v>
      </c>
      <c r="G68" s="12" t="s">
        <v>23</v>
      </c>
      <c r="H68" s="10" t="s">
        <v>158</v>
      </c>
    </row>
    <row r="69" customFormat="false" ht="15" hidden="false" customHeight="true" outlineLevel="0" collapsed="false">
      <c r="A69" s="13" t="s">
        <v>159</v>
      </c>
      <c r="B69" s="14" t="s">
        <v>147</v>
      </c>
      <c r="C69" s="15" t="s">
        <v>160</v>
      </c>
      <c r="D69" s="16" t="n">
        <v>46211</v>
      </c>
      <c r="E69" s="16" t="n">
        <v>46219</v>
      </c>
      <c r="F69" s="13" t="n">
        <f aca="false">E69-D69+1</f>
        <v>9</v>
      </c>
      <c r="G69" s="17" t="s">
        <v>57</v>
      </c>
      <c r="H69" s="15" t="s">
        <v>161</v>
      </c>
    </row>
    <row r="70" customFormat="false" ht="15" hidden="false" customHeight="true" outlineLevel="0" collapsed="false">
      <c r="A70" s="8" t="s">
        <v>162</v>
      </c>
      <c r="B70" s="9" t="s">
        <v>147</v>
      </c>
      <c r="C70" s="10" t="s">
        <v>163</v>
      </c>
      <c r="D70" s="11" t="n">
        <v>46210</v>
      </c>
      <c r="E70" s="11" t="n">
        <v>46219</v>
      </c>
      <c r="F70" s="8" t="n">
        <f aca="false">E70-D70+1</f>
        <v>10</v>
      </c>
      <c r="G70" s="12" t="s">
        <v>18</v>
      </c>
      <c r="H70" s="10" t="s">
        <v>164</v>
      </c>
    </row>
    <row r="71" customFormat="false" ht="15" hidden="false" customHeight="true" outlineLevel="0" collapsed="false">
      <c r="A71" s="8" t="s">
        <v>165</v>
      </c>
      <c r="B71" s="9" t="s">
        <v>147</v>
      </c>
      <c r="C71" s="10" t="s">
        <v>166</v>
      </c>
      <c r="D71" s="11" t="n">
        <v>46228</v>
      </c>
      <c r="E71" s="11" t="n">
        <v>46228</v>
      </c>
      <c r="F71" s="8" t="n">
        <f aca="false">E71-D71+1</f>
        <v>1</v>
      </c>
      <c r="G71" s="12" t="s">
        <v>57</v>
      </c>
      <c r="H71" s="10" t="s">
        <v>167</v>
      </c>
    </row>
    <row r="72" customFormat="false" ht="15" hidden="false" customHeight="true" outlineLevel="0" collapsed="false">
      <c r="A72" s="20" t="s">
        <v>168</v>
      </c>
      <c r="B72" s="20"/>
      <c r="C72" s="20"/>
      <c r="D72" s="20"/>
      <c r="E72" s="20"/>
      <c r="F72" s="20"/>
      <c r="G72" s="20"/>
      <c r="H72" s="20"/>
    </row>
    <row r="73" customFormat="false" ht="1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</row>
    <row r="74" customFormat="false" ht="15" hidden="false" customHeight="true" outlineLevel="0" collapsed="false">
      <c r="A74" s="19" t="s">
        <v>169</v>
      </c>
    </row>
    <row r="75" customFormat="false" ht="12" hidden="false" customHeight="true" outlineLevel="0" collapsed="false">
      <c r="A75" s="13" t="n">
        <v>39</v>
      </c>
      <c r="B75" s="14" t="s">
        <v>170</v>
      </c>
      <c r="C75" s="15" t="s">
        <v>171</v>
      </c>
      <c r="D75" s="16" t="n">
        <v>46171</v>
      </c>
      <c r="E75" s="16" t="n">
        <v>46171</v>
      </c>
      <c r="F75" s="13" t="n">
        <f aca="false">E75-D75+1</f>
        <v>1</v>
      </c>
      <c r="G75" s="17" t="s">
        <v>23</v>
      </c>
      <c r="H75" s="15" t="s">
        <v>172</v>
      </c>
    </row>
    <row r="76" customFormat="false" ht="15" hidden="false" customHeight="true" outlineLevel="0" collapsed="false">
      <c r="A76" s="8" t="n">
        <v>40</v>
      </c>
      <c r="B76" s="9" t="s">
        <v>170</v>
      </c>
      <c r="C76" s="10" t="s">
        <v>173</v>
      </c>
      <c r="D76" s="11" t="n">
        <v>46174</v>
      </c>
      <c r="E76" s="11" t="n">
        <v>46218</v>
      </c>
      <c r="F76" s="8" t="n">
        <f aca="false">E76-D76+1</f>
        <v>45</v>
      </c>
      <c r="G76" s="12" t="s">
        <v>23</v>
      </c>
      <c r="H76" s="10" t="s">
        <v>174</v>
      </c>
    </row>
    <row r="77" customFormat="false" ht="15" hidden="false" customHeight="true" outlineLevel="0" collapsed="false">
      <c r="A77" s="13" t="n">
        <v>41</v>
      </c>
      <c r="B77" s="14" t="s">
        <v>170</v>
      </c>
      <c r="C77" s="15" t="s">
        <v>175</v>
      </c>
      <c r="D77" s="16" t="n">
        <v>46176</v>
      </c>
      <c r="E77" s="16" t="n">
        <v>46183</v>
      </c>
      <c r="F77" s="13" t="n">
        <f aca="false">E77-D77+1</f>
        <v>8</v>
      </c>
      <c r="G77" s="17" t="s">
        <v>176</v>
      </c>
      <c r="H77" s="15" t="s">
        <v>177</v>
      </c>
    </row>
    <row r="78" customFormat="false" ht="15" hidden="false" customHeight="true" outlineLevel="0" collapsed="false">
      <c r="A78" s="13" t="s">
        <v>178</v>
      </c>
      <c r="B78" s="14" t="s">
        <v>170</v>
      </c>
      <c r="C78" s="15" t="s">
        <v>179</v>
      </c>
      <c r="D78" s="16" t="n">
        <v>46220</v>
      </c>
      <c r="E78" s="16" t="n">
        <v>46222</v>
      </c>
      <c r="F78" s="13" t="n">
        <f aca="false">E78-D78+1</f>
        <v>3</v>
      </c>
      <c r="G78" s="17" t="s">
        <v>176</v>
      </c>
      <c r="H78" s="15" t="s">
        <v>180</v>
      </c>
    </row>
    <row r="79" customFormat="false" ht="15" hidden="false" customHeight="true" outlineLevel="0" collapsed="false">
      <c r="A79" s="8" t="n">
        <v>42</v>
      </c>
      <c r="B79" s="9" t="s">
        <v>170</v>
      </c>
      <c r="C79" s="10" t="s">
        <v>181</v>
      </c>
      <c r="D79" s="11" t="n">
        <v>46217</v>
      </c>
      <c r="E79" s="11" t="n">
        <v>46220</v>
      </c>
      <c r="F79" s="8" t="n">
        <f aca="false">E79-D79+1</f>
        <v>4</v>
      </c>
      <c r="G79" s="12" t="s">
        <v>176</v>
      </c>
      <c r="H79" s="10" t="s">
        <v>182</v>
      </c>
    </row>
    <row r="80" customFormat="false" ht="15" hidden="false" customHeight="true" outlineLevel="0" collapsed="false">
      <c r="A80" s="8" t="s">
        <v>183</v>
      </c>
      <c r="B80" s="9" t="s">
        <v>170</v>
      </c>
      <c r="C80" s="10" t="s">
        <v>184</v>
      </c>
      <c r="D80" s="11" t="n">
        <v>46227</v>
      </c>
      <c r="E80" s="11" t="n">
        <v>46227</v>
      </c>
      <c r="F80" s="8" t="n">
        <f aca="false">E80-D80+1</f>
        <v>1</v>
      </c>
      <c r="G80" s="12" t="s">
        <v>176</v>
      </c>
      <c r="H80" s="10" t="s">
        <v>185</v>
      </c>
    </row>
    <row r="81" customFormat="false" ht="15" hidden="false" customHeight="true" outlineLevel="0" collapsed="false">
      <c r="A81" s="13" t="n">
        <v>43</v>
      </c>
      <c r="B81" s="14" t="s">
        <v>170</v>
      </c>
      <c r="C81" s="15" t="s">
        <v>186</v>
      </c>
      <c r="D81" s="16" t="n">
        <v>46185</v>
      </c>
      <c r="E81" s="16" t="n">
        <v>46185</v>
      </c>
      <c r="F81" s="13" t="n">
        <f aca="false">E81-D81+1</f>
        <v>1</v>
      </c>
      <c r="G81" s="17" t="s">
        <v>176</v>
      </c>
      <c r="H81" s="15" t="s">
        <v>187</v>
      </c>
    </row>
    <row r="82" customFormat="false" ht="15" hidden="false" customHeight="true" outlineLevel="0" collapsed="false">
      <c r="A82" s="8" t="n">
        <v>44</v>
      </c>
      <c r="B82" s="9" t="s">
        <v>170</v>
      </c>
      <c r="C82" s="10" t="s">
        <v>188</v>
      </c>
      <c r="D82" s="11" t="n">
        <v>46217</v>
      </c>
      <c r="E82" s="11" t="n">
        <v>46222</v>
      </c>
      <c r="F82" s="8" t="n">
        <f aca="false">E82-D82+1</f>
        <v>6</v>
      </c>
      <c r="G82" s="12" t="s">
        <v>23</v>
      </c>
      <c r="H82" s="10" t="s">
        <v>189</v>
      </c>
    </row>
    <row r="83" customFormat="false" ht="15" hidden="false" customHeight="true" outlineLevel="0" collapsed="false">
      <c r="A83" s="13" t="s">
        <v>190</v>
      </c>
      <c r="B83" s="14" t="s">
        <v>170</v>
      </c>
      <c r="C83" s="15" t="s">
        <v>191</v>
      </c>
      <c r="D83" s="16" t="n">
        <v>46210</v>
      </c>
      <c r="E83" s="16" t="n">
        <v>46210</v>
      </c>
      <c r="F83" s="13" t="n">
        <f aca="false">E83-D83+1</f>
        <v>1</v>
      </c>
      <c r="G83" s="17" t="s">
        <v>23</v>
      </c>
      <c r="H83" s="15" t="s">
        <v>192</v>
      </c>
    </row>
    <row r="84" customFormat="false" ht="15" hidden="false" customHeight="true" outlineLevel="0" collapsed="false">
      <c r="A84" s="13" t="n">
        <v>46</v>
      </c>
      <c r="B84" s="14" t="s">
        <v>170</v>
      </c>
      <c r="C84" s="15" t="s">
        <v>193</v>
      </c>
      <c r="D84" s="16" t="n">
        <v>46217</v>
      </c>
      <c r="E84" s="16" t="n">
        <v>46224</v>
      </c>
      <c r="F84" s="13" t="n">
        <f aca="false">E84-D84+1</f>
        <v>8</v>
      </c>
      <c r="G84" s="17" t="s">
        <v>18</v>
      </c>
      <c r="H84" s="15" t="s">
        <v>194</v>
      </c>
    </row>
    <row r="85" customFormat="false" ht="15" hidden="false" customHeight="true" outlineLevel="0" collapsed="false">
      <c r="A85" s="8" t="s">
        <v>195</v>
      </c>
      <c r="B85" s="9" t="s">
        <v>170</v>
      </c>
      <c r="C85" s="10" t="s">
        <v>196</v>
      </c>
      <c r="D85" s="11" t="n">
        <v>46209</v>
      </c>
      <c r="E85" s="11" t="n">
        <v>46229</v>
      </c>
      <c r="F85" s="8" t="n">
        <f aca="false">E85-D85+1</f>
        <v>21</v>
      </c>
      <c r="G85" s="12" t="s">
        <v>18</v>
      </c>
      <c r="H85" s="10" t="s">
        <v>197</v>
      </c>
    </row>
    <row r="86" customFormat="false" ht="15" hidden="false" customHeight="true" outlineLevel="0" collapsed="false">
      <c r="A86" s="13" t="s">
        <v>198</v>
      </c>
      <c r="B86" s="14" t="s">
        <v>170</v>
      </c>
      <c r="C86" s="15" t="s">
        <v>199</v>
      </c>
      <c r="D86" s="16" t="n">
        <v>46211</v>
      </c>
      <c r="E86" s="16" t="n">
        <v>46237</v>
      </c>
      <c r="F86" s="13" t="n">
        <f aca="false">E86-D86+1</f>
        <v>27</v>
      </c>
      <c r="G86" s="17" t="s">
        <v>57</v>
      </c>
      <c r="H86" s="15" t="s">
        <v>200</v>
      </c>
    </row>
    <row r="87" customFormat="false" ht="15" hidden="false" customHeight="true" outlineLevel="0" collapsed="false">
      <c r="A87" s="13" t="s">
        <v>201</v>
      </c>
      <c r="B87" s="14" t="s">
        <v>170</v>
      </c>
      <c r="C87" s="15" t="s">
        <v>202</v>
      </c>
      <c r="D87" s="16" t="n">
        <v>46229</v>
      </c>
      <c r="E87" s="16" t="n">
        <v>46232</v>
      </c>
      <c r="F87" s="13" t="n">
        <f aca="false">E87-D87+1</f>
        <v>4</v>
      </c>
      <c r="G87" s="17" t="s">
        <v>29</v>
      </c>
      <c r="H87" s="15" t="s">
        <v>203</v>
      </c>
    </row>
    <row r="88" customFormat="false" ht="15" hidden="false" customHeight="true" outlineLevel="0" collapsed="false">
      <c r="A88" s="13" t="s">
        <v>204</v>
      </c>
      <c r="B88" s="14" t="s">
        <v>170</v>
      </c>
      <c r="C88" s="15" t="s">
        <v>205</v>
      </c>
      <c r="D88" s="16" t="n">
        <v>46232</v>
      </c>
      <c r="E88" s="16" t="n">
        <v>46236</v>
      </c>
      <c r="F88" s="13" t="n">
        <f aca="false">E88-D88+1</f>
        <v>5</v>
      </c>
      <c r="G88" s="17" t="s">
        <v>57</v>
      </c>
      <c r="H88" s="15" t="s">
        <v>206</v>
      </c>
    </row>
    <row r="89" customFormat="false" ht="12" hidden="false" customHeight="true" outlineLevel="0" collapsed="false">
      <c r="A89" s="13" t="s">
        <v>207</v>
      </c>
      <c r="B89" s="14" t="s">
        <v>170</v>
      </c>
      <c r="C89" s="15" t="s">
        <v>208</v>
      </c>
      <c r="D89" s="16" t="n">
        <v>46231</v>
      </c>
      <c r="E89" s="16" t="n">
        <v>46237</v>
      </c>
      <c r="F89" s="13" t="n">
        <f aca="false">E89-D89+1</f>
        <v>7</v>
      </c>
      <c r="G89" s="17" t="s">
        <v>176</v>
      </c>
      <c r="H89" s="15" t="s">
        <v>209</v>
      </c>
    </row>
    <row r="90" customFormat="false" ht="12" hidden="false" customHeight="true" outlineLevel="0" collapsed="false">
      <c r="A90" s="13" t="s">
        <v>210</v>
      </c>
      <c r="B90" s="14" t="s">
        <v>170</v>
      </c>
      <c r="C90" s="15" t="s">
        <v>211</v>
      </c>
      <c r="D90" s="16" t="n">
        <v>46211</v>
      </c>
      <c r="E90" s="16" t="n">
        <v>46228</v>
      </c>
      <c r="F90" s="13" t="n">
        <f aca="false">E90-D90+1</f>
        <v>18</v>
      </c>
      <c r="G90" s="17" t="s">
        <v>23</v>
      </c>
      <c r="H90" s="15" t="s">
        <v>212</v>
      </c>
    </row>
    <row r="91" customFormat="false" ht="15" hidden="false" customHeight="true" outlineLevel="0" collapsed="false">
      <c r="A91" s="13" t="s">
        <v>213</v>
      </c>
      <c r="B91" s="14" t="s">
        <v>170</v>
      </c>
      <c r="C91" s="15" t="s">
        <v>214</v>
      </c>
      <c r="D91" s="16" t="n">
        <v>46229</v>
      </c>
      <c r="E91" s="16" t="n">
        <v>46233</v>
      </c>
      <c r="F91" s="13" t="n">
        <f aca="false">E91-D91+1</f>
        <v>5</v>
      </c>
      <c r="G91" s="17" t="s">
        <v>57</v>
      </c>
      <c r="H91" s="15" t="s">
        <v>215</v>
      </c>
    </row>
    <row r="92" customFormat="false" ht="15" hidden="false" customHeight="true" outlineLevel="0" collapsed="false">
      <c r="A92" s="13" t="s">
        <v>216</v>
      </c>
      <c r="B92" s="14" t="s">
        <v>170</v>
      </c>
      <c r="C92" s="15" t="s">
        <v>217</v>
      </c>
      <c r="D92" s="16" t="n">
        <v>46228</v>
      </c>
      <c r="E92" s="16" t="n">
        <v>46228</v>
      </c>
      <c r="F92" s="13" t="n">
        <f aca="false">E92-D92+1</f>
        <v>1</v>
      </c>
      <c r="G92" s="17" t="s">
        <v>176</v>
      </c>
      <c r="H92" s="15" t="s">
        <v>218</v>
      </c>
    </row>
    <row r="93" customFormat="false" ht="15" hidden="false" customHeight="true" outlineLevel="0" collapsed="false">
      <c r="A93" s="13" t="s">
        <v>219</v>
      </c>
      <c r="B93" s="14" t="s">
        <v>170</v>
      </c>
      <c r="C93" s="15" t="s">
        <v>220</v>
      </c>
      <c r="D93" s="16" t="n">
        <v>46229</v>
      </c>
      <c r="E93" s="16" t="n">
        <v>46230</v>
      </c>
      <c r="F93" s="13" t="n">
        <f aca="false">E93-D93+1</f>
        <v>2</v>
      </c>
      <c r="G93" s="17" t="s">
        <v>57</v>
      </c>
      <c r="H93" s="15" t="s">
        <v>221</v>
      </c>
    </row>
    <row r="94" customFormat="false" ht="15" hidden="false" customHeight="true" outlineLevel="0" collapsed="false">
      <c r="A94" s="13" t="s">
        <v>222</v>
      </c>
      <c r="B94" s="14" t="s">
        <v>170</v>
      </c>
      <c r="C94" s="15" t="s">
        <v>223</v>
      </c>
      <c r="D94" s="16" t="n">
        <v>46229</v>
      </c>
      <c r="E94" s="16" t="n">
        <v>46230</v>
      </c>
      <c r="F94" s="13" t="n">
        <f aca="false">E94-D94+1</f>
        <v>2</v>
      </c>
      <c r="G94" s="17" t="s">
        <v>13</v>
      </c>
      <c r="H94" s="15" t="s">
        <v>224</v>
      </c>
    </row>
    <row r="95" customFormat="false" ht="15" hidden="false" customHeight="true" outlineLevel="0" collapsed="false">
      <c r="A95" s="8" t="n">
        <v>47</v>
      </c>
      <c r="B95" s="9" t="s">
        <v>170</v>
      </c>
      <c r="C95" s="10" t="s">
        <v>225</v>
      </c>
      <c r="D95" s="11" t="n">
        <v>46216</v>
      </c>
      <c r="E95" s="11" t="n">
        <v>46219</v>
      </c>
      <c r="F95" s="8" t="n">
        <f aca="false">E95-D95+1</f>
        <v>4</v>
      </c>
      <c r="G95" s="12" t="s">
        <v>18</v>
      </c>
      <c r="H95" s="10" t="s">
        <v>226</v>
      </c>
    </row>
    <row r="96" customFormat="false" ht="15" hidden="false" customHeight="true" outlineLevel="0" collapsed="false">
      <c r="A96" s="13" t="s">
        <v>227</v>
      </c>
      <c r="B96" s="14" t="s">
        <v>170</v>
      </c>
      <c r="C96" s="15" t="s">
        <v>228</v>
      </c>
      <c r="D96" s="16" t="n">
        <v>46216</v>
      </c>
      <c r="E96" s="16" t="n">
        <v>46223</v>
      </c>
      <c r="F96" s="13" t="n">
        <f aca="false">E96-D96+1</f>
        <v>8</v>
      </c>
      <c r="G96" s="17" t="s">
        <v>44</v>
      </c>
      <c r="H96" s="15" t="s">
        <v>229</v>
      </c>
    </row>
    <row r="97" customFormat="false" ht="15" hidden="false" customHeight="true" outlineLevel="0" collapsed="false">
      <c r="A97" s="13" t="s">
        <v>230</v>
      </c>
      <c r="B97" s="14" t="s">
        <v>170</v>
      </c>
      <c r="C97" s="15" t="s">
        <v>231</v>
      </c>
      <c r="D97" s="16" t="n">
        <v>46211</v>
      </c>
      <c r="E97" s="16" t="n">
        <v>46219</v>
      </c>
      <c r="F97" s="13" t="n">
        <f aca="false">E97-D97+1</f>
        <v>9</v>
      </c>
      <c r="G97" s="17" t="s">
        <v>176</v>
      </c>
      <c r="H97" s="15" t="s">
        <v>232</v>
      </c>
    </row>
    <row r="98" customFormat="false" ht="15" hidden="false" customHeight="true" outlineLevel="0" collapsed="false">
      <c r="A98" s="8" t="n">
        <v>48</v>
      </c>
      <c r="B98" s="9" t="s">
        <v>170</v>
      </c>
      <c r="C98" s="10" t="s">
        <v>233</v>
      </c>
      <c r="D98" s="11" t="n">
        <v>46219</v>
      </c>
      <c r="E98" s="11" t="n">
        <v>46230</v>
      </c>
      <c r="F98" s="8" t="n">
        <f aca="false">E98-D98+1</f>
        <v>12</v>
      </c>
      <c r="G98" s="12" t="s">
        <v>44</v>
      </c>
      <c r="H98" s="10" t="s">
        <v>234</v>
      </c>
    </row>
    <row r="99" customFormat="false" ht="15" hidden="false" customHeight="true" outlineLevel="0" collapsed="false">
      <c r="A99" s="13" t="n">
        <v>49</v>
      </c>
      <c r="B99" s="14" t="s">
        <v>170</v>
      </c>
      <c r="C99" s="15" t="s">
        <v>235</v>
      </c>
      <c r="D99" s="16" t="n">
        <v>46231</v>
      </c>
      <c r="E99" s="16" t="n">
        <v>46237</v>
      </c>
      <c r="F99" s="13" t="n">
        <f aca="false">E99-D99+1</f>
        <v>7</v>
      </c>
      <c r="G99" s="17" t="s">
        <v>176</v>
      </c>
      <c r="H99" s="15" t="s">
        <v>236</v>
      </c>
    </row>
    <row r="100" customFormat="false" ht="15" hidden="false" customHeight="true" outlineLevel="0" collapsed="false">
      <c r="A100" s="13" t="s">
        <v>237</v>
      </c>
      <c r="B100" s="14" t="s">
        <v>170</v>
      </c>
      <c r="C100" s="15" t="s">
        <v>238</v>
      </c>
      <c r="D100" s="16" t="n">
        <v>46222</v>
      </c>
      <c r="E100" s="16" t="n">
        <v>46223</v>
      </c>
      <c r="F100" s="13" t="n">
        <f aca="false">E100-D100+1</f>
        <v>2</v>
      </c>
      <c r="G100" s="17" t="s">
        <v>29</v>
      </c>
      <c r="H100" s="15" t="s">
        <v>239</v>
      </c>
    </row>
    <row r="101" customFormat="false" ht="15" hidden="false" customHeight="true" outlineLevel="0" collapsed="false">
      <c r="A101" s="13" t="s">
        <v>240</v>
      </c>
      <c r="B101" s="14" t="s">
        <v>170</v>
      </c>
      <c r="C101" s="15" t="s">
        <v>241</v>
      </c>
      <c r="D101" s="16" t="n">
        <v>46222</v>
      </c>
      <c r="E101" s="16" t="n">
        <v>46223</v>
      </c>
      <c r="F101" s="13" t="n">
        <f aca="false">E101-D101+1</f>
        <v>2</v>
      </c>
      <c r="G101" s="17" t="s">
        <v>23</v>
      </c>
      <c r="H101" s="15" t="s">
        <v>242</v>
      </c>
    </row>
    <row r="102" customFormat="false" ht="15" hidden="false" customHeight="true" outlineLevel="0" collapsed="false">
      <c r="A102" s="13" t="s">
        <v>243</v>
      </c>
      <c r="B102" s="14" t="s">
        <v>170</v>
      </c>
      <c r="C102" s="15" t="s">
        <v>244</v>
      </c>
      <c r="D102" s="16" t="n">
        <v>46223</v>
      </c>
      <c r="E102" s="16" t="n">
        <v>46224</v>
      </c>
      <c r="F102" s="13" t="n">
        <f aca="false">E102-D102+1</f>
        <v>2</v>
      </c>
      <c r="G102" s="17" t="s">
        <v>23</v>
      </c>
      <c r="H102" s="15" t="s">
        <v>245</v>
      </c>
    </row>
    <row r="103" customFormat="false" ht="15" hidden="false" customHeight="true" outlineLevel="0" collapsed="false">
      <c r="A103" s="13" t="s">
        <v>246</v>
      </c>
      <c r="B103" s="14" t="s">
        <v>170</v>
      </c>
      <c r="C103" s="15" t="s">
        <v>247</v>
      </c>
      <c r="D103" s="16" t="n">
        <v>46225</v>
      </c>
      <c r="E103" s="16" t="n">
        <v>46226</v>
      </c>
      <c r="F103" s="13" t="n">
        <f aca="false">E103-D103+1</f>
        <v>2</v>
      </c>
      <c r="G103" s="17" t="s">
        <v>23</v>
      </c>
      <c r="H103" s="15" t="s">
        <v>248</v>
      </c>
    </row>
    <row r="104" customFormat="false" ht="15" hidden="false" customHeight="true" outlineLevel="0" collapsed="false">
      <c r="A104" s="13" t="s">
        <v>249</v>
      </c>
      <c r="B104" s="14" t="s">
        <v>170</v>
      </c>
      <c r="C104" s="15" t="s">
        <v>250</v>
      </c>
      <c r="D104" s="16" t="n">
        <v>46227</v>
      </c>
      <c r="E104" s="16" t="n">
        <v>46228</v>
      </c>
      <c r="F104" s="13" t="n">
        <f aca="false">E104-D104+1</f>
        <v>2</v>
      </c>
      <c r="G104" s="17" t="s">
        <v>44</v>
      </c>
      <c r="H104" s="15" t="s">
        <v>251</v>
      </c>
    </row>
    <row r="105" customFormat="false" ht="15" hidden="false" customHeight="true" outlineLevel="0" collapsed="false">
      <c r="A105" s="13" t="s">
        <v>252</v>
      </c>
      <c r="B105" s="14" t="s">
        <v>170</v>
      </c>
      <c r="C105" s="15" t="s">
        <v>253</v>
      </c>
      <c r="D105" s="16" t="n">
        <v>46229</v>
      </c>
      <c r="E105" s="16" t="n">
        <v>46230</v>
      </c>
      <c r="F105" s="13" t="n">
        <f aca="false">E105-D105+1</f>
        <v>2</v>
      </c>
      <c r="G105" s="17" t="s">
        <v>44</v>
      </c>
      <c r="H105" s="15" t="s">
        <v>254</v>
      </c>
    </row>
    <row r="106" customFormat="false" ht="15" hidden="false" customHeight="true" outlineLevel="0" collapsed="false">
      <c r="A106" s="13" t="s">
        <v>255</v>
      </c>
      <c r="B106" s="14" t="s">
        <v>170</v>
      </c>
      <c r="C106" s="15" t="s">
        <v>256</v>
      </c>
      <c r="D106" s="16" t="n">
        <v>46227</v>
      </c>
      <c r="E106" s="16" t="n">
        <v>46227</v>
      </c>
      <c r="F106" s="13" t="n">
        <f aca="false">E106-D106+1</f>
        <v>1</v>
      </c>
      <c r="G106" s="17" t="s">
        <v>23</v>
      </c>
      <c r="H106" s="15" t="s">
        <v>257</v>
      </c>
    </row>
    <row r="107" customFormat="false" ht="15" hidden="false" customHeight="true" outlineLevel="0" collapsed="false">
      <c r="A107" s="13" t="s">
        <v>258</v>
      </c>
      <c r="B107" s="14" t="s">
        <v>170</v>
      </c>
      <c r="C107" s="15" t="s">
        <v>259</v>
      </c>
      <c r="D107" s="16" t="n">
        <v>46230</v>
      </c>
      <c r="E107" s="16" t="n">
        <v>46230</v>
      </c>
      <c r="F107" s="13" t="n">
        <f aca="false">E107-D107+1</f>
        <v>1</v>
      </c>
      <c r="G107" s="17" t="s">
        <v>23</v>
      </c>
      <c r="H107" s="15" t="s">
        <v>260</v>
      </c>
    </row>
    <row r="108" customFormat="false" ht="15" hidden="false" customHeight="true" outlineLevel="0" collapsed="false">
      <c r="A108" s="13" t="s">
        <v>261</v>
      </c>
      <c r="B108" s="14" t="s">
        <v>170</v>
      </c>
      <c r="C108" s="15" t="s">
        <v>262</v>
      </c>
      <c r="D108" s="16" t="n">
        <v>46236</v>
      </c>
      <c r="E108" s="16" t="n">
        <v>46237</v>
      </c>
      <c r="F108" s="13" t="n">
        <f aca="false">E108-D108+1</f>
        <v>2</v>
      </c>
      <c r="G108" s="17" t="s">
        <v>176</v>
      </c>
      <c r="H108" s="15" t="s">
        <v>263</v>
      </c>
    </row>
    <row r="109" customFormat="false" ht="15" hidden="false" customHeight="true" outlineLevel="0" collapsed="false">
      <c r="A109" s="13" t="s">
        <v>264</v>
      </c>
      <c r="B109" s="14" t="s">
        <v>170</v>
      </c>
      <c r="C109" s="15" t="s">
        <v>265</v>
      </c>
      <c r="D109" s="16" t="n">
        <v>46236</v>
      </c>
      <c r="E109" s="16" t="n">
        <v>46238</v>
      </c>
      <c r="F109" s="13" t="n">
        <f aca="false">E109-D109+1</f>
        <v>3</v>
      </c>
      <c r="G109" s="17" t="s">
        <v>13</v>
      </c>
      <c r="H109" s="15" t="s">
        <v>266</v>
      </c>
    </row>
    <row r="110" customFormat="false" ht="15" hidden="false" customHeight="true" outlineLevel="0" collapsed="false">
      <c r="A110" s="13" t="s">
        <v>267</v>
      </c>
      <c r="B110" s="14" t="s">
        <v>170</v>
      </c>
      <c r="C110" s="15" t="s">
        <v>268</v>
      </c>
      <c r="D110" s="16" t="n">
        <v>46240</v>
      </c>
      <c r="E110" s="16" t="n">
        <v>46253</v>
      </c>
      <c r="F110" s="13" t="n">
        <f aca="false">E110-D110+1</f>
        <v>14</v>
      </c>
      <c r="G110" s="17" t="s">
        <v>23</v>
      </c>
      <c r="H110" s="15" t="s">
        <v>269</v>
      </c>
    </row>
    <row r="111" customFormat="false" ht="15" hidden="false" customHeight="false" outlineLevel="0" collapsed="false">
      <c r="A111" s="13" t="s">
        <v>270</v>
      </c>
      <c r="B111" s="14" t="s">
        <v>170</v>
      </c>
      <c r="C111" s="15" t="s">
        <v>271</v>
      </c>
      <c r="D111" s="16" t="n">
        <v>46230</v>
      </c>
      <c r="E111" s="16" t="n">
        <v>46240</v>
      </c>
      <c r="F111" s="13" t="n">
        <f aca="false">E111-D111+1</f>
        <v>11</v>
      </c>
      <c r="G111" s="17" t="s">
        <v>176</v>
      </c>
      <c r="H111" s="15" t="s">
        <v>272</v>
      </c>
    </row>
    <row r="112" customFormat="false" ht="15" hidden="false" customHeight="false" outlineLevel="0" collapsed="false">
      <c r="A112" s="18" t="s">
        <v>273</v>
      </c>
      <c r="B112" s="18"/>
      <c r="C112" s="18"/>
      <c r="D112" s="18"/>
      <c r="E112" s="18"/>
      <c r="F112" s="18"/>
      <c r="G112" s="18"/>
      <c r="H112" s="18"/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8"/>
      <c r="G113" s="18"/>
      <c r="H113" s="18"/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8"/>
      <c r="G114" s="18"/>
      <c r="H114" s="18"/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8"/>
      <c r="G115" s="18"/>
      <c r="H115" s="18"/>
    </row>
    <row r="116" customFormat="false" ht="15" hidden="false" customHeight="false" outlineLevel="0" collapsed="false">
      <c r="A116" s="19" t="s">
        <v>274</v>
      </c>
    </row>
    <row r="117" customFormat="false" ht="15" hidden="false" customHeight="false" outlineLevel="0" collapsed="false">
      <c r="A117" s="8" t="n">
        <v>53</v>
      </c>
      <c r="B117" s="9" t="s">
        <v>275</v>
      </c>
      <c r="C117" s="10" t="s">
        <v>276</v>
      </c>
      <c r="D117" s="11" t="n">
        <v>46175</v>
      </c>
      <c r="E117" s="11" t="n">
        <v>46175</v>
      </c>
      <c r="F117" s="8" t="n">
        <f aca="false">E117-D117+1</f>
        <v>1</v>
      </c>
      <c r="G117" s="12" t="s">
        <v>23</v>
      </c>
      <c r="H117" s="10" t="s">
        <v>277</v>
      </c>
    </row>
    <row r="118" customFormat="false" ht="15" hidden="false" customHeight="false" outlineLevel="0" collapsed="false">
      <c r="A118" s="13" t="n">
        <v>54</v>
      </c>
      <c r="B118" s="14" t="s">
        <v>275</v>
      </c>
      <c r="C118" s="15" t="s">
        <v>278</v>
      </c>
      <c r="D118" s="16" t="n">
        <v>46189</v>
      </c>
      <c r="E118" s="16" t="n">
        <v>46189</v>
      </c>
      <c r="F118" s="13" t="n">
        <f aca="false">E118-D118+1</f>
        <v>1</v>
      </c>
      <c r="G118" s="17" t="s">
        <v>23</v>
      </c>
      <c r="H118" s="15" t="s">
        <v>279</v>
      </c>
    </row>
    <row r="119" customFormat="false" ht="15" hidden="false" customHeight="false" outlineLevel="0" collapsed="false">
      <c r="A119" s="8" t="s">
        <v>280</v>
      </c>
      <c r="B119" s="9" t="s">
        <v>275</v>
      </c>
      <c r="C119" s="10" t="s">
        <v>281</v>
      </c>
      <c r="D119" s="11" t="n">
        <v>46210</v>
      </c>
      <c r="E119" s="11" t="n">
        <v>46210</v>
      </c>
      <c r="F119" s="8" t="n">
        <f aca="false">E119-D119+1</f>
        <v>1</v>
      </c>
      <c r="G119" s="12" t="s">
        <v>23</v>
      </c>
      <c r="H119" s="10" t="s">
        <v>282</v>
      </c>
    </row>
    <row r="120" customFormat="false" ht="15" hidden="false" customHeight="false" outlineLevel="0" collapsed="false">
      <c r="A120" s="8" t="s">
        <v>283</v>
      </c>
      <c r="B120" s="9" t="s">
        <v>275</v>
      </c>
      <c r="C120" s="10" t="s">
        <v>284</v>
      </c>
      <c r="D120" s="11" t="n">
        <v>46218</v>
      </c>
      <c r="E120" s="11" t="n">
        <v>46218</v>
      </c>
      <c r="F120" s="8" t="n">
        <f aca="false">E120-D120+1</f>
        <v>1</v>
      </c>
      <c r="G120" s="12" t="s">
        <v>23</v>
      </c>
      <c r="H120" s="10" t="s">
        <v>285</v>
      </c>
    </row>
    <row r="121" customFormat="false" ht="15" hidden="false" customHeight="false" outlineLevel="0" collapsed="false">
      <c r="A121" s="8" t="s">
        <v>286</v>
      </c>
      <c r="B121" s="9" t="s">
        <v>275</v>
      </c>
      <c r="C121" s="10" t="s">
        <v>287</v>
      </c>
      <c r="D121" s="11" t="n">
        <v>46223</v>
      </c>
      <c r="E121" s="11" t="n">
        <v>46223</v>
      </c>
      <c r="F121" s="8" t="n">
        <f aca="false">E121-D121+1</f>
        <v>1</v>
      </c>
      <c r="G121" s="12" t="s">
        <v>23</v>
      </c>
      <c r="H121" s="10" t="s">
        <v>288</v>
      </c>
    </row>
    <row r="122" customFormat="false" ht="15" hidden="false" customHeight="false" outlineLevel="0" collapsed="false">
      <c r="A122" s="13" t="n">
        <v>55</v>
      </c>
      <c r="B122" s="14" t="s">
        <v>275</v>
      </c>
      <c r="C122" s="15" t="s">
        <v>289</v>
      </c>
      <c r="D122" s="16" t="n">
        <v>46228</v>
      </c>
      <c r="E122" s="16" t="n">
        <v>46228</v>
      </c>
      <c r="F122" s="13" t="n">
        <f aca="false">E122-D122+1</f>
        <v>1</v>
      </c>
      <c r="G122" s="17" t="s">
        <v>23</v>
      </c>
      <c r="H122" s="15" t="s">
        <v>290</v>
      </c>
    </row>
    <row r="123" customFormat="false" ht="15" hidden="false" customHeight="false" outlineLevel="0" collapsed="false">
      <c r="A123" s="13" t="s">
        <v>291</v>
      </c>
      <c r="B123" s="14" t="s">
        <v>275</v>
      </c>
      <c r="C123" s="15" t="s">
        <v>292</v>
      </c>
      <c r="D123" s="16" t="n">
        <v>46230</v>
      </c>
      <c r="E123" s="16" t="n">
        <v>46230</v>
      </c>
      <c r="F123" s="13" t="n">
        <f aca="false">E123-D123+1</f>
        <v>1</v>
      </c>
      <c r="G123" s="17" t="s">
        <v>23</v>
      </c>
      <c r="H123" s="15" t="s">
        <v>293</v>
      </c>
    </row>
    <row r="124" customFormat="false" ht="15" hidden="false" customHeight="false" outlineLevel="0" collapsed="false">
      <c r="A124" s="8" t="n">
        <v>56</v>
      </c>
      <c r="B124" s="9" t="s">
        <v>275</v>
      </c>
      <c r="C124" s="10" t="s">
        <v>294</v>
      </c>
      <c r="D124" s="11" t="n">
        <v>46237</v>
      </c>
      <c r="E124" s="11" t="n">
        <v>46239</v>
      </c>
      <c r="F124" s="8" t="n">
        <f aca="false">E124-D124+1</f>
        <v>3</v>
      </c>
      <c r="G124" s="12" t="s">
        <v>23</v>
      </c>
      <c r="H124" s="10" t="s">
        <v>295</v>
      </c>
    </row>
    <row r="125" customFormat="false" ht="15" hidden="false" customHeight="false" outlineLevel="0" collapsed="false">
      <c r="A125" s="8" t="s">
        <v>296</v>
      </c>
      <c r="B125" s="9" t="s">
        <v>275</v>
      </c>
      <c r="C125" s="10" t="s">
        <v>297</v>
      </c>
      <c r="D125" s="11" t="n">
        <v>46238</v>
      </c>
      <c r="E125" s="11" t="n">
        <v>46238</v>
      </c>
      <c r="F125" s="8" t="n">
        <f aca="false">E125-D125+1</f>
        <v>1</v>
      </c>
      <c r="G125" s="12" t="s">
        <v>23</v>
      </c>
      <c r="H125" s="10" t="s">
        <v>298</v>
      </c>
    </row>
    <row r="126" customFormat="false" ht="15" hidden="false" customHeight="false" outlineLevel="0" collapsed="false">
      <c r="A126" s="13" t="n">
        <v>57</v>
      </c>
      <c r="B126" s="14" t="s">
        <v>275</v>
      </c>
      <c r="C126" s="15" t="s">
        <v>299</v>
      </c>
      <c r="D126" s="16" t="n">
        <v>46238</v>
      </c>
      <c r="E126" s="16" t="n">
        <v>46238</v>
      </c>
      <c r="F126" s="13" t="n">
        <f aca="false">E126-D126+1</f>
        <v>1</v>
      </c>
      <c r="G126" s="17" t="s">
        <v>300</v>
      </c>
      <c r="H126" s="15" t="s">
        <v>301</v>
      </c>
    </row>
    <row r="127" customFormat="false" ht="15" hidden="false" customHeight="false" outlineLevel="0" collapsed="false">
      <c r="A127" s="8" t="n">
        <v>58</v>
      </c>
      <c r="B127" s="9" t="s">
        <v>275</v>
      </c>
      <c r="C127" s="10" t="s">
        <v>302</v>
      </c>
      <c r="D127" s="11" t="n">
        <v>46240</v>
      </c>
      <c r="E127" s="11" t="n">
        <v>46240</v>
      </c>
      <c r="F127" s="8" t="n">
        <f aca="false">E127-D127+1</f>
        <v>1</v>
      </c>
      <c r="G127" s="12" t="s">
        <v>303</v>
      </c>
      <c r="H127" s="10"/>
    </row>
    <row r="128" customFormat="false" ht="15" hidden="false" customHeight="false" outlineLevel="0" collapsed="false">
      <c r="A128" s="8" t="s">
        <v>304</v>
      </c>
      <c r="B128" s="9" t="s">
        <v>275</v>
      </c>
      <c r="C128" s="10" t="s">
        <v>305</v>
      </c>
      <c r="D128" s="11" t="n">
        <v>46264</v>
      </c>
      <c r="E128" s="11" t="n">
        <v>46264</v>
      </c>
      <c r="F128" s="8" t="n">
        <f aca="false">E128-D128+1</f>
        <v>1</v>
      </c>
      <c r="G128" s="12" t="s">
        <v>300</v>
      </c>
      <c r="H128" s="10" t="s">
        <v>306</v>
      </c>
    </row>
  </sheetData>
  <mergeCells count="14">
    <mergeCell ref="A1:H1"/>
    <mergeCell ref="A2:H2"/>
    <mergeCell ref="A5:H5"/>
    <mergeCell ref="A24:H24"/>
    <mergeCell ref="A35:H35"/>
    <mergeCell ref="A36:H36"/>
    <mergeCell ref="A62:H62"/>
    <mergeCell ref="A63:H63"/>
    <mergeCell ref="A72:H72"/>
    <mergeCell ref="A73:H73"/>
    <mergeCell ref="A112:H112"/>
    <mergeCell ref="A113:H113"/>
    <mergeCell ref="A114:H114"/>
    <mergeCell ref="A115:H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1" t="s">
        <v>307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4" t="s">
        <v>308</v>
      </c>
      <c r="B2" s="4" t="s">
        <v>309</v>
      </c>
      <c r="C2" s="4" t="s">
        <v>310</v>
      </c>
      <c r="D2" s="4" t="s">
        <v>311</v>
      </c>
      <c r="E2" s="4" t="s">
        <v>312</v>
      </c>
      <c r="F2" s="4" t="s">
        <v>313</v>
      </c>
    </row>
    <row r="3" customFormat="false" ht="15" hidden="false" customHeight="true" outlineLevel="0" collapsed="false">
      <c r="A3" s="22" t="s">
        <v>11</v>
      </c>
      <c r="B3" s="22" t="s">
        <v>11</v>
      </c>
      <c r="C3" s="23" t="n">
        <f aca="false">MIN('Project Plan'!D6:D23)</f>
        <v>46127</v>
      </c>
      <c r="D3" s="23" t="n">
        <f aca="false">MAX('Project Plan'!E6:E23)</f>
        <v>46264</v>
      </c>
      <c r="E3" s="24" t="n">
        <f aca="false">D3-C3+1</f>
        <v>138</v>
      </c>
      <c r="F3" s="25" t="s">
        <v>314</v>
      </c>
    </row>
    <row r="4" customFormat="false" ht="15" hidden="false" customHeight="true" outlineLevel="0" collapsed="false">
      <c r="A4" s="22" t="s">
        <v>63</v>
      </c>
      <c r="B4" s="22" t="s">
        <v>63</v>
      </c>
      <c r="C4" s="23" t="n">
        <f aca="false">MIN('Project Plan'!D26:D34)</f>
        <v>46160</v>
      </c>
      <c r="D4" s="23" t="n">
        <f aca="false">MAX('Project Plan'!E26:E34)</f>
        <v>46235</v>
      </c>
      <c r="E4" s="24" t="n">
        <f aca="false">D4-C4+1</f>
        <v>76</v>
      </c>
      <c r="F4" s="25" t="s">
        <v>315</v>
      </c>
    </row>
    <row r="5" customFormat="false" ht="15" hidden="false" customHeight="true" outlineLevel="0" collapsed="false">
      <c r="A5" s="22" t="s">
        <v>85</v>
      </c>
      <c r="B5" s="22" t="s">
        <v>316</v>
      </c>
      <c r="C5" s="23" t="n">
        <f aca="false">MIN('Project Plan'!D38:D61)</f>
        <v>46143</v>
      </c>
      <c r="D5" s="23" t="n">
        <f aca="false">MAX('Project Plan'!E38:E61)</f>
        <v>46239</v>
      </c>
      <c r="E5" s="24" t="n">
        <f aca="false">D5-C5+1</f>
        <v>97</v>
      </c>
      <c r="F5" s="25" t="s">
        <v>317</v>
      </c>
    </row>
    <row r="6" customFormat="false" ht="15" hidden="false" customHeight="true" outlineLevel="0" collapsed="false">
      <c r="A6" s="22" t="s">
        <v>147</v>
      </c>
      <c r="B6" s="22" t="s">
        <v>318</v>
      </c>
      <c r="C6" s="23" t="n">
        <f aca="false">MIN('Project Plan'!D65:D71)</f>
        <v>46193</v>
      </c>
      <c r="D6" s="23" t="n">
        <f aca="false">MAX('Project Plan'!E65:E71)</f>
        <v>46228</v>
      </c>
      <c r="E6" s="24" t="n">
        <f aca="false">D6-C6+1</f>
        <v>36</v>
      </c>
      <c r="F6" s="25" t="s">
        <v>319</v>
      </c>
    </row>
    <row r="7" customFormat="false" ht="15" hidden="false" customHeight="true" outlineLevel="0" collapsed="false">
      <c r="A7" s="22" t="s">
        <v>170</v>
      </c>
      <c r="B7" s="22" t="s">
        <v>320</v>
      </c>
      <c r="C7" s="23" t="n">
        <f aca="false">MIN('Project Plan'!D75:D111)</f>
        <v>46171</v>
      </c>
      <c r="D7" s="23" t="n">
        <f aca="false">MAX('Project Plan'!E75:E111)</f>
        <v>46253</v>
      </c>
      <c r="E7" s="24" t="n">
        <f aca="false">D7-C7+1</f>
        <v>83</v>
      </c>
      <c r="F7" s="25" t="s">
        <v>321</v>
      </c>
    </row>
    <row r="8" customFormat="false" ht="15" hidden="false" customHeight="true" outlineLevel="0" collapsed="false">
      <c r="A8" s="22" t="s">
        <v>275</v>
      </c>
      <c r="B8" s="22" t="s">
        <v>322</v>
      </c>
      <c r="C8" s="23" t="n">
        <f aca="false">MIN('Project Plan'!D117:D128)</f>
        <v>46175</v>
      </c>
      <c r="D8" s="23" t="n">
        <f aca="false">MAX('Project Plan'!E117:E128)</f>
        <v>46264</v>
      </c>
      <c r="E8" s="24" t="n">
        <f aca="false">D8-C8+1</f>
        <v>90</v>
      </c>
      <c r="F8" s="25" t="s">
        <v>323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2026-07-26T04:33:42Z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