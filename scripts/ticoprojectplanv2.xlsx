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Track Summary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&quot; days&quot;"/>
  </numFmts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C8A44A"/>
      <sz val="16"/>
    </font>
    <font>
      <name val="Calibri"/>
      <charset val="1"/>
      <family val="0"/>
      <color rgb="FF8A8070"/>
      <sz val="10"/>
    </font>
    <font>
      <name val="FreeSans"/>
      <family val="2"/>
      <color rgb="FF8A8070"/>
      <sz val="10"/>
    </font>
    <font>
      <name val="Calibri"/>
      <charset val="1"/>
      <family val="0"/>
      <b val="1"/>
      <color rgb="FFE4DDD0"/>
      <sz val="10"/>
    </font>
    <font>
      <name val="FreeSans"/>
      <charset val="1"/>
      <family val="2"/>
      <b val="1"/>
      <color rgb="FFE4DDD0"/>
      <sz val="10"/>
    </font>
    <font>
      <name val="FreeSans"/>
      <charset val="1"/>
      <family val="2"/>
      <b val="1"/>
      <color rgb="FFC8A44A"/>
      <sz val="11"/>
    </font>
    <font>
      <name val="Calibri"/>
      <charset val="1"/>
      <family val="0"/>
      <color rgb="FFE4DDD0"/>
      <sz val="10"/>
    </font>
    <font>
      <name val="FreeSans"/>
      <charset val="1"/>
      <family val="2"/>
      <color rgb="FFE4DDD0"/>
      <sz val="10"/>
    </font>
    <font>
      <name val="Calibri"/>
      <charset val="1"/>
      <family val="0"/>
      <b val="1"/>
      <color rgb="FF8B5CF6"/>
      <sz val="10"/>
    </font>
    <font>
      <name val="Calibri"/>
      <charset val="1"/>
      <family val="0"/>
      <b val="1"/>
      <color rgb="FFC8A44A"/>
      <sz val="14"/>
    </font>
    <font>
      <name val="FreeSans"/>
      <charset val="1"/>
      <family val="2"/>
      <b val="1"/>
      <color rgb="FFC8A44A"/>
      <sz val="10"/>
    </font>
    <font>
      <name val="Calibri"/>
      <charset val="1"/>
      <family val="0"/>
      <color rgb="FFD0C8BC"/>
      <sz val="10"/>
    </font>
    <font>
      <name val="FreeSans"/>
      <charset val="1"/>
      <family val="2"/>
      <color rgb="FFD0C8BC"/>
      <sz val="10"/>
    </font>
    <font>
      <name val="FreeSans"/>
      <charset val="1"/>
      <family val="2"/>
      <b val="1"/>
      <color rgb="FF8B5CF6"/>
      <sz val="10"/>
    </font>
    <font>
      <name val="FreeSans"/>
      <charset val="1"/>
      <family val="2"/>
      <b val="1"/>
      <color rgb="FF2ABFB0"/>
      <sz val="10"/>
    </font>
    <font>
      <name val="FreeSans"/>
      <family val="2"/>
      <color rgb="FFD0C8BC"/>
      <sz val="10"/>
    </font>
    <font>
      <name val="FreeSans"/>
      <charset val="1"/>
      <family val="2"/>
      <b val="1"/>
      <color rgb="FF2DAA6A"/>
      <sz val="10"/>
    </font>
    <font>
      <name val="FreeSans"/>
      <charset val="1"/>
      <family val="2"/>
      <b val="1"/>
      <color rgb="FFF59E0B"/>
      <sz val="10"/>
    </font>
  </fonts>
  <fills count="10">
    <fill>
      <patternFill/>
    </fill>
    <fill>
      <patternFill patternType="gray125"/>
    </fill>
    <fill>
      <patternFill patternType="solid">
        <fgColor rgb="FF07091A"/>
        <bgColor rgb="FF0A0F22"/>
      </patternFill>
    </fill>
    <fill>
      <patternFill patternType="solid">
        <fgColor rgb="FF0E1428"/>
        <bgColor rgb="FF0A0F22"/>
      </patternFill>
    </fill>
    <fill>
      <patternFill patternType="solid">
        <fgColor rgb="FF3D2E00"/>
        <bgColor rgb="FF4A3000"/>
      </patternFill>
    </fill>
    <fill>
      <patternFill patternType="solid">
        <fgColor rgb="FF0A0F22"/>
        <bgColor rgb="FF0E1428"/>
      </patternFill>
    </fill>
    <fill>
      <patternFill patternType="solid">
        <fgColor rgb="FF2D1B5E"/>
        <bgColor rgb="FF0E1428"/>
      </patternFill>
    </fill>
    <fill>
      <patternFill patternType="solid">
        <fgColor rgb="FF0D3D38"/>
        <bgColor rgb="FF0D3320"/>
      </patternFill>
    </fill>
    <fill>
      <patternFill patternType="solid">
        <fgColor rgb="FF0D3320"/>
        <bgColor rgb="FF0D3D38"/>
      </patternFill>
    </fill>
    <fill>
      <patternFill patternType="solid">
        <fgColor rgb="FF4A3000"/>
        <bgColor rgb="FF3D2E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bottom"/>
    </xf>
    <xf numFmtId="0" fontId="5" fillId="2" borderId="0" applyAlignment="1" pivotButton="0" quotePrefix="0" xfId="0">
      <alignment horizontal="center" vertical="bottom"/>
    </xf>
    <xf numFmtId="0" fontId="7" fillId="3" borderId="0" applyAlignment="1" pivotButton="0" quotePrefix="0" xfId="0">
      <alignment horizontal="center" vertical="bottom"/>
    </xf>
    <xf numFmtId="0" fontId="8" fillId="3" borderId="0" applyAlignment="1" pivotButton="0" quotePrefix="0" xfId="0">
      <alignment horizontal="center" vertical="bottom"/>
    </xf>
    <xf numFmtId="0" fontId="8" fillId="3" borderId="0" applyAlignment="1" pivotButton="0" quotePrefix="0" xfId="0">
      <alignment horizontal="right" vertical="bottom"/>
    </xf>
    <xf numFmtId="0" fontId="9" fillId="4" borderId="0" applyAlignment="1" pivotButton="0" quotePrefix="0" xfId="0">
      <alignment horizontal="left" vertical="bottom"/>
    </xf>
    <xf numFmtId="0" fontId="10" fillId="3" borderId="0" applyAlignment="1" pivotButton="0" quotePrefix="0" xfId="0">
      <alignment horizontal="center" vertical="bottom"/>
    </xf>
    <xf numFmtId="0" fontId="11" fillId="3" borderId="0" applyAlignment="1" pivotButton="0" quotePrefix="0" xfId="0">
      <alignment horizontal="center" vertical="bottom"/>
    </xf>
    <xf numFmtId="0" fontId="11" fillId="3" borderId="0" applyAlignment="1" pivotButton="0" quotePrefix="0" xfId="0">
      <alignment horizontal="right" vertical="bottom"/>
    </xf>
    <xf numFmtId="164" fontId="10" fillId="3" borderId="0" applyAlignment="1" pivotButton="0" quotePrefix="0" xfId="0">
      <alignment horizontal="left" vertical="bottom"/>
    </xf>
    <xf numFmtId="0" fontId="12" fillId="3" borderId="0" applyAlignment="1" pivotButton="0" quotePrefix="0" xfId="0">
      <alignment horizontal="center" vertical="bottom"/>
    </xf>
    <xf numFmtId="0" fontId="10" fillId="5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right" vertical="bottom"/>
    </xf>
    <xf numFmtId="164" fontId="10" fillId="5" borderId="0" applyAlignment="1" pivotButton="0" quotePrefix="0" xfId="0">
      <alignment horizontal="left" vertical="bottom"/>
    </xf>
    <xf numFmtId="0" fontId="12" fillId="5" borderId="0" applyAlignment="1" pivotButton="0" quotePrefix="0" xfId="0">
      <alignment horizontal="center" vertical="bottom"/>
    </xf>
    <xf numFmtId="0" fontId="13" fillId="2" borderId="0" applyAlignment="1" pivotButton="0" quotePrefix="0" xfId="0">
      <alignment horizontal="center" vertical="bottom"/>
    </xf>
    <xf numFmtId="0" fontId="14" fillId="4" borderId="0" applyAlignment="1" pivotButton="0" quotePrefix="0" xfId="0">
      <alignment horizontal="center" vertical="bottom"/>
    </xf>
    <xf numFmtId="164" fontId="15" fillId="4" borderId="0" applyAlignment="1" pivotButton="0" quotePrefix="0" xfId="0">
      <alignment horizontal="left" vertical="bottom"/>
    </xf>
    <xf numFmtId="165" fontId="15" fillId="4" borderId="0" applyAlignment="1" pivotButton="0" quotePrefix="0" xfId="0">
      <alignment horizontal="center" vertical="bottom"/>
    </xf>
    <xf numFmtId="0" fontId="16" fillId="4" borderId="0" applyAlignment="1" pivotButton="0" quotePrefix="0" xfId="0">
      <alignment horizontal="left" vertical="bottom"/>
    </xf>
    <xf numFmtId="0" fontId="17" fillId="6" borderId="0" applyAlignment="1" pivotButton="0" quotePrefix="0" xfId="0">
      <alignment horizontal="center" vertical="bottom"/>
    </xf>
    <xf numFmtId="164" fontId="15" fillId="6" borderId="0" applyAlignment="1" pivotButton="0" quotePrefix="0" xfId="0">
      <alignment horizontal="left" vertical="bottom"/>
    </xf>
    <xf numFmtId="165" fontId="15" fillId="6" borderId="0" applyAlignment="1" pivotButton="0" quotePrefix="0" xfId="0">
      <alignment horizontal="center" vertical="bottom"/>
    </xf>
    <xf numFmtId="0" fontId="16" fillId="6" borderId="0" applyAlignment="1" pivotButton="0" quotePrefix="0" xfId="0">
      <alignment horizontal="left" vertical="bottom"/>
    </xf>
    <xf numFmtId="0" fontId="18" fillId="7" borderId="0" applyAlignment="1" pivotButton="0" quotePrefix="0" xfId="0">
      <alignment horizontal="center" vertical="bottom"/>
    </xf>
    <xf numFmtId="164" fontId="15" fillId="7" borderId="0" applyAlignment="1" pivotButton="0" quotePrefix="0" xfId="0">
      <alignment horizontal="left" vertical="bottom"/>
    </xf>
    <xf numFmtId="165" fontId="15" fillId="7" borderId="0" applyAlignment="1" pivotButton="0" quotePrefix="0" xfId="0">
      <alignment horizontal="center" vertical="bottom"/>
    </xf>
    <xf numFmtId="0" fontId="15" fillId="7" borderId="0" applyAlignment="1" pivotButton="0" quotePrefix="0" xfId="0">
      <alignment horizontal="left" vertical="bottom"/>
    </xf>
    <xf numFmtId="0" fontId="20" fillId="8" borderId="0" applyAlignment="1" pivotButton="0" quotePrefix="0" xfId="0">
      <alignment horizontal="center" vertical="bottom"/>
    </xf>
    <xf numFmtId="164" fontId="15" fillId="8" borderId="0" applyAlignment="1" pivotButton="0" quotePrefix="0" xfId="0">
      <alignment horizontal="left" vertical="bottom"/>
    </xf>
    <xf numFmtId="165" fontId="15" fillId="8" borderId="0" applyAlignment="1" pivotButton="0" quotePrefix="0" xfId="0">
      <alignment horizontal="center" vertical="bottom"/>
    </xf>
    <xf numFmtId="0" fontId="16" fillId="8" borderId="0" applyAlignment="1" pivotButton="0" quotePrefix="0" xfId="0">
      <alignment horizontal="left" vertical="bottom"/>
    </xf>
    <xf numFmtId="0" fontId="21" fillId="9" borderId="0" applyAlignment="1" pivotButton="0" quotePrefix="0" xfId="0">
      <alignment horizontal="center" vertical="bottom"/>
    </xf>
    <xf numFmtId="164" fontId="15" fillId="9" borderId="0" applyAlignment="1" pivotButton="0" quotePrefix="0" xfId="0">
      <alignment horizontal="left" vertical="bottom"/>
    </xf>
    <xf numFmtId="165" fontId="15" fillId="9" borderId="0" applyAlignment="1" pivotButton="0" quotePrefix="0" xfId="0">
      <alignment horizontal="center" vertical="bottom"/>
    </xf>
    <xf numFmtId="0" fontId="16" fillId="9" borderId="0" applyAlignment="1" pivotButton="0" quotePrefix="0" xfId="0">
      <alignment horizontal="lef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bottom"/>
    </xf>
    <xf numFmtId="0" fontId="5" fillId="2" borderId="0" applyAlignment="1" pivotButton="0" quotePrefix="0" xfId="0">
      <alignment horizontal="center" vertical="bottom"/>
    </xf>
    <xf numFmtId="0" fontId="7" fillId="3" borderId="0" applyAlignment="1" pivotButton="0" quotePrefix="0" xfId="0">
      <alignment horizontal="center" vertical="bottom"/>
    </xf>
    <xf numFmtId="0" fontId="8" fillId="3" borderId="0" applyAlignment="1" pivotButton="0" quotePrefix="0" xfId="0">
      <alignment horizontal="center" vertical="bottom"/>
    </xf>
    <xf numFmtId="0" fontId="8" fillId="3" borderId="0" applyAlignment="1" pivotButton="0" quotePrefix="0" xfId="0">
      <alignment horizontal="right" vertical="bottom"/>
    </xf>
    <xf numFmtId="0" fontId="9" fillId="4" borderId="0" applyAlignment="1" pivotButton="0" quotePrefix="0" xfId="0">
      <alignment horizontal="left" vertical="bottom"/>
    </xf>
    <xf numFmtId="0" fontId="10" fillId="3" borderId="0" applyAlignment="1" pivotButton="0" quotePrefix="0" xfId="0">
      <alignment horizontal="center" vertical="bottom"/>
    </xf>
    <xf numFmtId="0" fontId="11" fillId="3" borderId="0" applyAlignment="1" pivotButton="0" quotePrefix="0" xfId="0">
      <alignment horizontal="center" vertical="bottom"/>
    </xf>
    <xf numFmtId="0" fontId="11" fillId="3" borderId="0" applyAlignment="1" pivotButton="0" quotePrefix="0" xfId="0">
      <alignment horizontal="right" vertical="bottom"/>
    </xf>
    <xf numFmtId="164" fontId="10" fillId="3" borderId="0" applyAlignment="1" pivotButton="0" quotePrefix="0" xfId="0">
      <alignment horizontal="left" vertical="bottom"/>
    </xf>
    <xf numFmtId="0" fontId="12" fillId="3" borderId="0" applyAlignment="1" pivotButton="0" quotePrefix="0" xfId="0">
      <alignment horizontal="center" vertical="bottom"/>
    </xf>
    <xf numFmtId="0" fontId="10" fillId="5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right" vertical="bottom"/>
    </xf>
    <xf numFmtId="164" fontId="10" fillId="5" borderId="0" applyAlignment="1" pivotButton="0" quotePrefix="0" xfId="0">
      <alignment horizontal="left" vertical="bottom"/>
    </xf>
    <xf numFmtId="0" fontId="12" fillId="5" borderId="0" applyAlignment="1" pivotButton="0" quotePrefix="0" xfId="0">
      <alignment horizontal="center" vertical="bottom"/>
    </xf>
    <xf numFmtId="0" fontId="10" fillId="5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right" vertical="bottom"/>
    </xf>
    <xf numFmtId="164" fontId="10" fillId="5" borderId="0" applyAlignment="1" pivotButton="0" quotePrefix="0" xfId="0">
      <alignment horizontal="left" vertical="bottom"/>
    </xf>
    <xf numFmtId="0" fontId="12" fillId="5" borderId="0" applyAlignment="1" pivotButton="0" quotePrefix="0" xfId="0">
      <alignment horizontal="center" vertical="bottom"/>
    </xf>
    <xf numFmtId="0" fontId="13" fillId="2" borderId="0" applyAlignment="1" pivotButton="0" quotePrefix="0" xfId="0">
      <alignment horizontal="center" vertical="bottom"/>
    </xf>
    <xf numFmtId="0" fontId="14" fillId="4" borderId="0" applyAlignment="1" pivotButton="0" quotePrefix="0" xfId="0">
      <alignment horizontal="center" vertical="bottom"/>
    </xf>
    <xf numFmtId="164" fontId="15" fillId="4" borderId="0" applyAlignment="1" pivotButton="0" quotePrefix="0" xfId="0">
      <alignment horizontal="left" vertical="bottom"/>
    </xf>
    <xf numFmtId="165" fontId="15" fillId="4" borderId="0" applyAlignment="1" pivotButton="0" quotePrefix="0" xfId="0">
      <alignment horizontal="center" vertical="bottom"/>
    </xf>
    <xf numFmtId="0" fontId="16" fillId="4" borderId="0" applyAlignment="1" pivotButton="0" quotePrefix="0" xfId="0">
      <alignment horizontal="left" vertical="bottom"/>
    </xf>
    <xf numFmtId="0" fontId="17" fillId="6" borderId="0" applyAlignment="1" pivotButton="0" quotePrefix="0" xfId="0">
      <alignment horizontal="center" vertical="bottom"/>
    </xf>
    <xf numFmtId="164" fontId="15" fillId="6" borderId="0" applyAlignment="1" pivotButton="0" quotePrefix="0" xfId="0">
      <alignment horizontal="left" vertical="bottom"/>
    </xf>
    <xf numFmtId="165" fontId="15" fillId="6" borderId="0" applyAlignment="1" pivotButton="0" quotePrefix="0" xfId="0">
      <alignment horizontal="center" vertical="bottom"/>
    </xf>
    <xf numFmtId="0" fontId="16" fillId="6" borderId="0" applyAlignment="1" pivotButton="0" quotePrefix="0" xfId="0">
      <alignment horizontal="left" vertical="bottom"/>
    </xf>
    <xf numFmtId="0" fontId="18" fillId="7" borderId="0" applyAlignment="1" pivotButton="0" quotePrefix="0" xfId="0">
      <alignment horizontal="center" vertical="bottom"/>
    </xf>
    <xf numFmtId="164" fontId="15" fillId="7" borderId="0" applyAlignment="1" pivotButton="0" quotePrefix="0" xfId="0">
      <alignment horizontal="left" vertical="bottom"/>
    </xf>
    <xf numFmtId="165" fontId="15" fillId="7" borderId="0" applyAlignment="1" pivotButton="0" quotePrefix="0" xfId="0">
      <alignment horizontal="center" vertical="bottom"/>
    </xf>
    <xf numFmtId="0" fontId="15" fillId="7" borderId="0" applyAlignment="1" pivotButton="0" quotePrefix="0" xfId="0">
      <alignment horizontal="left" vertical="bottom"/>
    </xf>
    <xf numFmtId="0" fontId="20" fillId="8" borderId="0" applyAlignment="1" pivotButton="0" quotePrefix="0" xfId="0">
      <alignment horizontal="center" vertical="bottom"/>
    </xf>
    <xf numFmtId="164" fontId="15" fillId="8" borderId="0" applyAlignment="1" pivotButton="0" quotePrefix="0" xfId="0">
      <alignment horizontal="left" vertical="bottom"/>
    </xf>
    <xf numFmtId="165" fontId="15" fillId="8" borderId="0" applyAlignment="1" pivotButton="0" quotePrefix="0" xfId="0">
      <alignment horizontal="center" vertical="bottom"/>
    </xf>
    <xf numFmtId="0" fontId="16" fillId="8" borderId="0" applyAlignment="1" pivotButton="0" quotePrefix="0" xfId="0">
      <alignment horizontal="left" vertical="bottom"/>
    </xf>
    <xf numFmtId="0" fontId="21" fillId="9" borderId="0" applyAlignment="1" pivotButton="0" quotePrefix="0" xfId="0">
      <alignment horizontal="center" vertical="bottom"/>
    </xf>
    <xf numFmtId="164" fontId="15" fillId="9" borderId="0" applyAlignment="1" pivotButton="0" quotePrefix="0" xfId="0">
      <alignment horizontal="left" vertical="bottom"/>
    </xf>
    <xf numFmtId="165" fontId="15" fillId="9" borderId="0" applyAlignment="1" pivotButton="0" quotePrefix="0" xfId="0">
      <alignment horizontal="center" vertical="bottom"/>
    </xf>
    <xf numFmtId="0" fontId="16" fillId="9" borderId="0" applyAlignment="1" pivotButton="0" quotePrefix="0" xfId="0">
      <alignment horizontal="lef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A0F22"/>
      <rgbColor rgb="FF808000"/>
      <rgbColor rgb="FF800080"/>
      <rgbColor rgb="FF008080"/>
      <rgbColor rgb="FFD0C8BC"/>
      <rgbColor rgb="FF8A8070"/>
      <rgbColor rgb="FF9999FF"/>
      <rgbColor rgb="FF993366"/>
      <rgbColor rgb="FFFFFFCC"/>
      <rgbColor rgb="FFCCFFFF"/>
      <rgbColor rgb="FF07091A"/>
      <rgbColor rgb="FFFF8080"/>
      <rgbColor rgb="FF0066CC"/>
      <rgbColor rgb="FFE4DDD0"/>
      <rgbColor rgb="FF0E1428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2ABFB0"/>
      <rgbColor rgb="FF99CC00"/>
      <rgbColor rgb="FFFFCC00"/>
      <rgbColor rgb="FFF59E0B"/>
      <rgbColor rgb="FFFF6600"/>
      <rgbColor rgb="FF8B5CF6"/>
      <rgbColor rgb="FFC8A44A"/>
      <rgbColor rgb="FF0D3D38"/>
      <rgbColor rgb="FF2DAA6A"/>
      <rgbColor rgb="FF0D3320"/>
      <rgbColor rgb="FF3D2E00"/>
      <rgbColor rgb="FF993300"/>
      <rgbColor rgb="FF993366"/>
      <rgbColor rgb="FF2D1B5E"/>
      <rgbColor rgb="FF4A3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39" min="1" max="1"/>
    <col width="22" customWidth="1" style="39" min="2" max="2"/>
    <col width="40" customWidth="1" style="39" min="3" max="3"/>
    <col width="16" customWidth="1" style="39" min="4" max="5"/>
    <col width="12" customWidth="1" style="39" min="6" max="7"/>
    <col width="52" customWidth="1" style="39" min="8" max="8"/>
  </cols>
  <sheetData>
    <row r="1" ht="19.5" customHeight="1" s="40">
      <c r="A1" s="41" t="inlineStr">
        <is>
          <t>Odysee — Personal AI Travel Companion · Project Plan</t>
        </is>
      </c>
    </row>
    <row r="2" ht="12" customHeight="1" s="40">
      <c r="A2" s="42" t="inlineStr">
        <is>
          <t>David Castiel | M.Design · HIT | הגשת ספר 4.8.2026 · תערוכה 6–19.8.2026 | עודכן 14.6.2026 — תאריכים = strawman, לתיקון</t>
        </is>
      </c>
    </row>
    <row r="4" ht="15" customHeight="1" s="40">
      <c r="A4" s="43" t="inlineStr">
        <is>
          <t>#</t>
        </is>
      </c>
      <c r="B4" s="44" t="inlineStr">
        <is>
          <t>פאזה</t>
        </is>
      </c>
      <c r="C4" s="45" t="inlineStr">
        <is>
          <t>משימה</t>
        </is>
      </c>
      <c r="D4" s="44" t="inlineStr">
        <is>
          <t>תאריך התחלה</t>
        </is>
      </c>
      <c r="E4" s="44" t="inlineStr">
        <is>
          <t>תאריך סיום</t>
        </is>
      </c>
      <c r="F4" s="44" t="inlineStr">
        <is>
          <t>משך (ימים)</t>
        </is>
      </c>
      <c r="G4" s="44" t="inlineStr">
        <is>
          <t>סטטוס</t>
        </is>
      </c>
      <c r="H4" s="45" t="inlineStr">
        <is>
          <t>הערות</t>
        </is>
      </c>
    </row>
    <row r="5" ht="14.25" customHeight="1" s="40">
      <c r="A5" s="46" t="inlineStr">
        <is>
          <t xml:space="preserve">  ספר — Book (freeze ~26.7 · הגשה 4.8)</t>
        </is>
      </c>
    </row>
    <row r="6" ht="15" customHeight="1" s="40">
      <c r="A6" s="47" t="n">
        <v>1</v>
      </c>
      <c r="B6" s="48" t="inlineStr">
        <is>
          <t>ספר</t>
        </is>
      </c>
      <c r="C6" s="49" t="inlineStr">
        <is>
          <t>✅ פרקים 1–6 (טיוטה)</t>
        </is>
      </c>
      <c r="D6" s="50" t="n">
        <v>46127</v>
      </c>
      <c r="E6" s="50" t="n">
        <v>46159</v>
      </c>
      <c r="F6" s="47">
        <f>E6-D6+1</f>
        <v/>
      </c>
      <c r="G6" s="51" t="inlineStr">
        <is>
          <t>DOCS</t>
        </is>
      </c>
      <c r="H6" s="49" t="inlineStr">
        <is>
          <t>מבוא·רקע·קונספט·ארכיטקטורה·UX·מערכת עיצוב — טיוטה גמורה</t>
        </is>
      </c>
    </row>
    <row r="7" ht="15" customHeight="1" s="40">
      <c r="A7" s="57" t="n">
        <v>2</v>
      </c>
      <c r="B7" s="58" t="inlineStr">
        <is>
          <t>ספר</t>
        </is>
      </c>
      <c r="C7" s="59" t="inlineStr">
        <is>
          <t>✅ פרק 8 "הדור הבא" + ביבליוגרפיה (41)</t>
        </is>
      </c>
      <c r="D7" s="60" t="n">
        <v>46162</v>
      </c>
      <c r="E7" s="60" t="n">
        <v>46165</v>
      </c>
      <c r="F7" s="57">
        <f>E7-D7+1</f>
        <v/>
      </c>
      <c r="G7" s="61" t="inlineStr">
        <is>
          <t>DOCS</t>
        </is>
      </c>
      <c r="H7" s="59" t="inlineStr">
        <is>
          <t>נכתב ושולב; הדיון הפך לפרק 9</t>
        </is>
      </c>
    </row>
    <row r="8" ht="15" customHeight="1" s="40">
      <c r="A8" s="47" t="n">
        <v>3</v>
      </c>
      <c r="B8" s="48" t="inlineStr">
        <is>
          <t>ספר</t>
        </is>
      </c>
      <c r="C8" s="49" t="inlineStr">
        <is>
          <t>✅ איורים פרקים 2/4/5 (וקטורי)</t>
        </is>
      </c>
      <c r="D8" s="50" t="n">
        <v>46170</v>
      </c>
      <c r="E8" s="50" t="n">
        <v>46173</v>
      </c>
      <c r="F8" s="47">
        <f>E8-D8+1</f>
        <v/>
      </c>
      <c r="G8" s="51" t="inlineStr">
        <is>
          <t>DESIGN</t>
        </is>
      </c>
      <c r="H8" s="49" t="inlineStr">
        <is>
          <t>משפך אמון · מפת 11 סוכנים · journey map · 5 מסכים</t>
        </is>
      </c>
    </row>
    <row r="9" ht="15" customHeight="1" s="40">
      <c r="A9" s="57" t="n">
        <v>4</v>
      </c>
      <c r="B9" s="58" t="inlineStr">
        <is>
          <t>ספר</t>
        </is>
      </c>
      <c r="C9" s="59" t="inlineStr">
        <is>
          <t>✅ שכתוב פרק 6 ל-Brand V5</t>
        </is>
      </c>
      <c r="D9" s="60" t="n">
        <v>46176</v>
      </c>
      <c r="E9" s="60" t="n">
        <v>46185</v>
      </c>
      <c r="F9" s="57">
        <f>E9-D9+1</f>
        <v/>
      </c>
      <c r="G9" s="61" t="inlineStr">
        <is>
          <t>DESIGN</t>
        </is>
      </c>
      <c r="H9" s="59" t="inlineStr">
        <is>
          <t>מתעד מותג בן-שני-דורות; יחד עם design-system.html</t>
        </is>
      </c>
    </row>
    <row r="10" ht="15" customHeight="1" s="40">
      <c r="A10" s="47" t="n">
        <v>5</v>
      </c>
      <c r="B10" s="48" t="inlineStr">
        <is>
          <t>ספר</t>
        </is>
      </c>
      <c r="C10" s="49" t="inlineStr">
        <is>
          <t>פיגורת לוגו + משפט-יישוב פרק 8 (V5)</t>
        </is>
      </c>
      <c r="D10" s="50" t="n">
        <v>46181</v>
      </c>
      <c r="E10" s="50" t="n">
        <v>46187</v>
      </c>
      <c r="F10" s="47">
        <f>E10-D10+1</f>
        <v/>
      </c>
      <c r="G10" s="51" t="inlineStr">
        <is>
          <t>DESIGN</t>
        </is>
      </c>
      <c r="H10" s="49" t="inlineStr">
        <is>
          <t>יישוב הפנים מול companion≠oracle</t>
        </is>
      </c>
    </row>
    <row r="11" ht="15" customHeight="1" s="40">
      <c r="A11" s="57" t="n">
        <v>6</v>
      </c>
      <c r="B11" s="58" t="inlineStr">
        <is>
          <t>ספר</t>
        </is>
      </c>
      <c r="C11" s="59" t="inlineStr">
        <is>
          <t>אימות ביבליוגרפיה + תיקון רינדור bidi</t>
        </is>
      </c>
      <c r="D11" s="60" t="n">
        <v>46183</v>
      </c>
      <c r="E11" s="60" t="n">
        <v>46195</v>
      </c>
      <c r="F11" s="57">
        <f>E11-D11+1</f>
        <v/>
      </c>
      <c r="G11" s="61" t="inlineStr">
        <is>
          <t>KEY</t>
        </is>
      </c>
      <c r="H11" s="59" t="inlineStr">
        <is>
          <t>Phocuswright מאומת 9.6 (March · URL נחיתה · author תאגידי) · 89%=Booking ✓ · נותר: Chile 21.383 · פטנט Apple · Nature MI · +תיקון bidi בביבליוגרפיה — רשומות לטיניות מתבלגנות (סוגריים/אותיות) בכל הרשומות · סיכון בוחן</t>
        </is>
      </c>
    </row>
    <row r="12" ht="15" customHeight="1" s="40">
      <c r="A12" s="57" t="inlineStr">
        <is>
          <t>6b</t>
        </is>
      </c>
      <c r="B12" s="58" t="inlineStr">
        <is>
          <t>ספר</t>
        </is>
      </c>
      <c r="C12" s="59" t="inlineStr">
        <is>
          <t>תיקון bidi ל-citations בגוף (\citep הפוך)</t>
        </is>
      </c>
      <c r="D12" s="60" t="n">
        <v>46186</v>
      </c>
      <c r="E12" s="60" t="n">
        <v>46191</v>
      </c>
      <c r="F12" s="57" t="n">
        <v>5</v>
      </c>
      <c r="G12" s="61" t="inlineStr">
        <is>
          <t>KEY</t>
        </is>
      </c>
      <c r="H12" s="59" t="inlineStr">
        <is>
          <t>(Author, Year) מתהפך ל-(Year, Author) body-wide · עטיפת פלט הציטוט ב-\LR דרך biblatex cite-hook (לא \renewcommand — natbib שובר) · test-build + בדיקה: single / et al. / multi-cite · מעל אימות ביבליו׳</t>
        </is>
      </c>
    </row>
    <row r="13" ht="15" customHeight="1" s="40">
      <c r="A13" s="47" t="n">
        <v>7</v>
      </c>
      <c r="B13" s="48" t="inlineStr">
        <is>
          <t>ספר</t>
        </is>
      </c>
      <c r="C13" s="49" t="inlineStr">
        <is>
          <t>עריכת ניסוחים — כל הפרקים (Word flow)</t>
        </is>
      </c>
      <c r="D13" s="50" t="n">
        <v>46188</v>
      </c>
      <c r="E13" s="50" t="n">
        <v>46218</v>
      </c>
      <c r="F13" s="47">
        <f>E12-D12+1</f>
        <v/>
      </c>
      <c r="G13" s="51" t="inlineStr">
        <is>
          <t>CONTENT</t>
        </is>
      </c>
      <c r="H13" s="49" t="inlineStr">
        <is>
          <t>David עורך ב-Word → החלה עדינה על ה-tex</t>
        </is>
      </c>
    </row>
    <row r="14" ht="15" customHeight="1" s="40">
      <c r="A14" s="57" t="n">
        <v>8</v>
      </c>
      <c r="B14" s="58" t="inlineStr">
        <is>
          <t>ספר</t>
        </is>
      </c>
      <c r="C14" s="59" t="inlineStr">
        <is>
          <t>פרק 7 (תערוכה)</t>
        </is>
      </c>
      <c r="D14" s="60" t="n">
        <v>46201</v>
      </c>
      <c r="E14" s="60" t="n">
        <v>46215</v>
      </c>
      <c r="F14" s="57">
        <f>E13-D13+1</f>
        <v/>
      </c>
      <c r="G14" s="61" t="inlineStr">
        <is>
          <t>KEY</t>
        </is>
      </c>
      <c r="H14" s="59" t="inlineStr">
        <is>
          <t>חסום ל-spec + מיפוי סוף יוני</t>
        </is>
      </c>
    </row>
    <row r="15" ht="15" customHeight="1" s="40">
      <c r="A15" s="47" t="n">
        <v>9</v>
      </c>
      <c r="B15" s="48" t="inlineStr">
        <is>
          <t>ספר</t>
        </is>
      </c>
      <c r="C15" s="49" t="inlineStr">
        <is>
          <t>פרק 9 (דיון)</t>
        </is>
      </c>
      <c r="D15" s="50" t="n">
        <v>46211</v>
      </c>
      <c r="E15" s="50" t="n">
        <v>46221</v>
      </c>
      <c r="F15" s="47">
        <f>E14-D14+1</f>
        <v/>
      </c>
      <c r="G15" s="51" t="inlineStr">
        <is>
          <t>DOCS</t>
        </is>
      </c>
      <c r="H15" s="49" t="inlineStr">
        <is>
          <t>subsection קונסולידציה/מיקום (companion≠oracle) נוסף ואומת מול הדו״ח 9.6 (64/81/68 תוקנו: קטגוריה מול ChatGPT) · יתר הפרק לקראת הסוף</t>
        </is>
      </c>
    </row>
    <row r="16" ht="15" customHeight="1" s="40">
      <c r="A16" s="57" t="n">
        <v>10</v>
      </c>
      <c r="B16" s="58" t="inlineStr">
        <is>
          <t>ספר</t>
        </is>
      </c>
      <c r="C16" s="59" t="inlineStr">
        <is>
          <t>Abstract אנגלית + עברית</t>
        </is>
      </c>
      <c r="D16" s="60" t="n">
        <v>46218</v>
      </c>
      <c r="E16" s="60" t="n">
        <v>46223</v>
      </c>
      <c r="F16" s="57">
        <f>E15-D15+1</f>
        <v/>
      </c>
      <c r="G16" s="61" t="inlineStr">
        <is>
          <t>DOCS</t>
        </is>
      </c>
      <c r="H16" s="59" t="inlineStr">
        <is>
          <t>לפי תקנון HIT</t>
        </is>
      </c>
    </row>
    <row r="17" ht="15" customHeight="1" s="40">
      <c r="A17" s="47" t="n">
        <v>11</v>
      </c>
      <c r="B17" s="48" t="inlineStr">
        <is>
          <t>ספר</t>
        </is>
      </c>
      <c r="C17" s="49" t="inlineStr">
        <is>
          <t>הקפאת תוכן + הגהה + בנייה סופית</t>
        </is>
      </c>
      <c r="D17" s="50" t="n">
        <v>46223</v>
      </c>
      <c r="E17" s="50" t="n">
        <v>46229</v>
      </c>
      <c r="F17" s="47">
        <f>E16-D16+1</f>
        <v/>
      </c>
      <c r="G17" s="51" t="inlineStr">
        <is>
          <t>KEY</t>
        </is>
      </c>
      <c r="H17" s="49" t="inlineStr">
        <is>
          <t>freeze מוקדם — לא ב-4.8</t>
        </is>
      </c>
    </row>
    <row r="18" ht="14.25" customHeight="1" s="40">
      <c r="A18" s="57" t="n">
        <v>12</v>
      </c>
    </row>
    <row r="19" ht="15" customHeight="1" s="40">
      <c r="A19" s="46" t="inlineStr">
        <is>
          <t xml:space="preserve">  אתר — Site (rebrand-v5 → main)</t>
        </is>
      </c>
    </row>
    <row r="20" ht="15" customHeight="1" s="40">
      <c r="A20" s="57" t="n">
        <v>13</v>
      </c>
      <c r="B20" s="58" t="inlineStr">
        <is>
          <t>אתר</t>
        </is>
      </c>
      <c r="C20" s="59" t="inlineStr">
        <is>
          <t>✅ מיגרציה Brand v1.0 + IA + next-generation</t>
        </is>
      </c>
      <c r="D20" s="60" t="n">
        <v>46160</v>
      </c>
      <c r="E20" s="60" t="n">
        <v>46165</v>
      </c>
      <c r="F20" s="57">
        <f>E19-D19+1</f>
        <v/>
      </c>
      <c r="G20" s="61" t="inlineStr">
        <is>
          <t>DESIGN</t>
        </is>
      </c>
      <c r="H20" s="59" t="inlineStr">
        <is>
          <t>5 עמודים + book/exhibition Coming Soon</t>
        </is>
      </c>
    </row>
    <row r="21" ht="15" customHeight="1" s="40">
      <c r="A21" s="47" t="n">
        <v>14</v>
      </c>
      <c r="B21" s="48" t="inlineStr">
        <is>
          <t>אתר</t>
        </is>
      </c>
      <c r="C21" s="49" t="inlineStr">
        <is>
          <t>✅ rebrand V5: 8 לוגואים→פנים + צבעים</t>
        </is>
      </c>
      <c r="D21" s="50" t="n">
        <v>46171</v>
      </c>
      <c r="E21" s="50" t="n">
        <v>46171</v>
      </c>
      <c r="F21" s="47">
        <f>E20-D20+1</f>
        <v/>
      </c>
      <c r="G21" s="51" t="inlineStr">
        <is>
          <t>DESIGN</t>
        </is>
      </c>
      <c r="H21" s="49" t="inlineStr">
        <is>
          <t>ענף rebrand-v5</t>
        </is>
      </c>
    </row>
    <row r="22" ht="15" customHeight="1" s="40">
      <c r="A22" s="57" t="n">
        <v>15</v>
      </c>
      <c r="B22" s="58" t="inlineStr">
        <is>
          <t>אתר</t>
        </is>
      </c>
      <c r="C22" s="59" t="inlineStr">
        <is>
          <t>✅ שכתוב design-system.html + hero-mark→פנים</t>
        </is>
      </c>
      <c r="D22" s="60" t="n">
        <v>46176</v>
      </c>
      <c r="E22" s="60" t="n">
        <v>46185</v>
      </c>
      <c r="F22" s="57">
        <f>E21-D21+1</f>
        <v/>
      </c>
      <c r="G22" s="61" t="inlineStr">
        <is>
          <t>DESIGN</t>
        </is>
      </c>
      <c r="H22" s="59" t="inlineStr">
        <is>
          <t>יחד עם פרק 6 בספר</t>
        </is>
      </c>
    </row>
    <row r="23" ht="15" customHeight="1" s="40">
      <c r="A23" s="47" t="n">
        <v>16</v>
      </c>
      <c r="B23" s="48" t="inlineStr">
        <is>
          <t>אתר</t>
        </is>
      </c>
      <c r="C23" s="49" t="inlineStr">
        <is>
          <t>✅ תיקון agents.html ל-4 סוכנים חיים</t>
        </is>
      </c>
      <c r="D23" s="50" t="n">
        <v>46177</v>
      </c>
      <c r="E23" s="50" t="n">
        <v>46179</v>
      </c>
      <c r="F23" s="47">
        <f>E22-D22+1</f>
        <v/>
      </c>
      <c r="G23" s="51" t="inlineStr">
        <is>
          <t>FIX</t>
        </is>
      </c>
      <c r="H23" s="49" t="inlineStr">
        <is>
          <t>סתירה ספר↔אתר (AGT-04 עדיין קונספטואלי באתר)</t>
        </is>
      </c>
    </row>
    <row r="24" ht="15" customHeight="1" s="40">
      <c r="A24" s="57" t="n">
        <v>17</v>
      </c>
      <c r="B24" s="58" t="inlineStr">
        <is>
          <t>אתר</t>
        </is>
      </c>
      <c r="C24" s="59" t="inlineStr">
        <is>
          <t>Plus Jakarta Sans (גוף) + favicon.svg</t>
        </is>
      </c>
      <c r="D24" s="60" t="n">
        <v>46183</v>
      </c>
      <c r="E24" s="60" t="n">
        <v>46187</v>
      </c>
      <c r="F24" s="57">
        <f>E23-D23+1</f>
        <v/>
      </c>
      <c r="G24" s="61" t="inlineStr">
        <is>
          <t>DEV</t>
        </is>
      </c>
      <c r="H24" s="59" t="inlineStr">
        <is>
          <t>עברית נשארת Heebo</t>
        </is>
      </c>
    </row>
    <row r="25" ht="15" customHeight="1" s="40">
      <c r="A25" s="47" t="n">
        <v>18</v>
      </c>
      <c r="B25" s="48" t="inlineStr">
        <is>
          <t>אתר</t>
        </is>
      </c>
      <c r="C25" s="49" t="inlineStr">
        <is>
          <t>איחוד .brand-mark*+טוקנים לקובץ משותף</t>
        </is>
      </c>
      <c r="D25" s="50" t="n">
        <v>46185</v>
      </c>
      <c r="E25" s="50" t="n">
        <v>46191</v>
      </c>
      <c r="F25" s="47">
        <f>E24-D24+1</f>
        <v/>
      </c>
      <c r="G25" s="51" t="inlineStr">
        <is>
          <t>DEV</t>
        </is>
      </c>
      <c r="H25" s="49" t="inlineStr">
        <is>
          <t>חוב טכני — לפני שינויי מותג נוספים</t>
        </is>
      </c>
    </row>
    <row r="26" ht="15" customHeight="1" s="40">
      <c r="A26" s="57" t="n">
        <v>19</v>
      </c>
      <c r="B26" s="58" t="inlineStr">
        <is>
          <t>אתר</t>
        </is>
      </c>
      <c r="C26" s="59" t="inlineStr">
        <is>
          <t>exhibition.html</t>
        </is>
      </c>
      <c r="D26" s="60" t="n">
        <v>46201</v>
      </c>
      <c r="E26" s="60" t="n">
        <v>46213</v>
      </c>
      <c r="F26" s="57">
        <f>E25-D25+1</f>
        <v/>
      </c>
      <c r="G26" s="61" t="inlineStr">
        <is>
          <t>DESIGN</t>
        </is>
      </c>
      <c r="H26" s="59" t="inlineStr">
        <is>
          <t>חסום ל-spec של HIT</t>
        </is>
      </c>
    </row>
    <row r="27" ht="15" customHeight="1" s="40">
      <c r="A27" s="47" t="n">
        <v>20</v>
      </c>
      <c r="B27" s="48" t="inlineStr">
        <is>
          <t>אתר</t>
        </is>
      </c>
      <c r="C27" s="49" t="inlineStr">
        <is>
          <t>QA light/dark/mobile/RTL + OG image</t>
        </is>
      </c>
      <c r="D27" s="50" t="n">
        <v>46215</v>
      </c>
      <c r="E27" s="50" t="n">
        <v>46221</v>
      </c>
      <c r="F27" s="47">
        <f>E26-D26+1</f>
        <v/>
      </c>
      <c r="G27" s="51" t="inlineStr">
        <is>
          <t>QA</t>
        </is>
      </c>
      <c r="H27" s="49" t="n"/>
    </row>
    <row r="28" ht="15" customHeight="1" s="40">
      <c r="A28" s="57" t="n">
        <v>21</v>
      </c>
      <c r="B28" s="58" t="inlineStr">
        <is>
          <t>אתר</t>
        </is>
      </c>
      <c r="C28" s="59" t="inlineStr">
        <is>
          <t>מיזוג rebrand-v5→main + פריסת GH Pages</t>
        </is>
      </c>
      <c r="D28" s="60" t="n">
        <v>46221</v>
      </c>
      <c r="E28" s="60" t="n">
        <v>46223</v>
      </c>
      <c r="F28" s="57">
        <f>E27-D27+1</f>
        <v/>
      </c>
      <c r="G28" s="61" t="inlineStr">
        <is>
          <t>DEV</t>
        </is>
      </c>
      <c r="H28" s="59" t="inlineStr">
        <is>
          <t>ודא .claude/worktrees ב-gitignore</t>
        </is>
      </c>
    </row>
    <row r="29" ht="14.25" customHeight="1" s="40">
      <c r="A29" s="47" t="n">
        <v>22</v>
      </c>
    </row>
    <row r="30" ht="15" customHeight="1" s="40">
      <c r="A30" s="46" t="inlineStr">
        <is>
          <t xml:space="preserve">  אפליקציה + דמו — App &amp; Demo  ◀ נתיב קריטי</t>
        </is>
      </c>
    </row>
    <row r="31" ht="15" customHeight="1" s="40">
      <c r="A31" s="47" t="n">
        <v>23</v>
      </c>
      <c r="B31" s="48" t="inlineStr">
        <is>
          <t>אפליקציה</t>
        </is>
      </c>
      <c r="C31" s="49" t="inlineStr">
        <is>
          <t>✅ pipeline עובד (STT→agents→TTS)</t>
        </is>
      </c>
      <c r="D31" s="50" t="n">
        <v>46143</v>
      </c>
      <c r="E31" s="50" t="n">
        <v>46170</v>
      </c>
      <c r="F31" s="47">
        <f>E30-D30+1</f>
        <v/>
      </c>
      <c r="G31" s="51" t="inlineStr">
        <is>
          <t>DEV</t>
        </is>
      </c>
      <c r="H31" s="49" t="inlineStr">
        <is>
          <t>רץ יחסית טוב</t>
        </is>
      </c>
    </row>
    <row r="32" ht="15" customHeight="1" s="40">
      <c r="A32" s="57" t="n">
        <v>24</v>
      </c>
      <c r="B32" s="58" t="inlineStr">
        <is>
          <t>אפליקציה</t>
        </is>
      </c>
      <c r="C32" s="59" t="inlineStr">
        <is>
          <t>✅ 4 סוכנים עובדים בעיקרון (01/02/04/06)</t>
        </is>
      </c>
      <c r="D32" s="60" t="n">
        <v>46143</v>
      </c>
      <c r="E32" s="60" t="n">
        <v>46170</v>
      </c>
      <c r="F32" s="57">
        <f>E31-D31+1</f>
        <v/>
      </c>
      <c r="G32" s="61" t="inlineStr">
        <is>
          <t>IMPL</t>
        </is>
      </c>
      <c r="H32" s="59" t="n"/>
    </row>
    <row r="33" ht="15" customHeight="1" s="40">
      <c r="A33" s="47" t="n">
        <v>25</v>
      </c>
      <c r="B33" s="48" t="inlineStr">
        <is>
          <t>אפליקציה</t>
        </is>
      </c>
      <c r="C33" s="49" t="inlineStr">
        <is>
          <t>✅ tico-orb כפנים (idle/listen/think/speak)</t>
        </is>
      </c>
      <c r="D33" s="50" t="n">
        <v>46171</v>
      </c>
      <c r="E33" s="50" t="n">
        <v>46171</v>
      </c>
      <c r="F33" s="47">
        <f>E32-D32+1</f>
        <v/>
      </c>
      <c r="G33" s="51" t="inlineStr">
        <is>
          <t>DEV</t>
        </is>
      </c>
      <c r="H33" s="49" t="inlineStr">
        <is>
          <t>state machine + Web Audio</t>
        </is>
      </c>
    </row>
    <row r="34" ht="15" customHeight="1" s="40">
      <c r="A34" s="57" t="n">
        <v>26</v>
      </c>
      <c r="B34" s="58" t="inlineStr">
        <is>
          <t>אפליקציה</t>
        </is>
      </c>
      <c r="C34" s="59" t="inlineStr">
        <is>
          <t>עיצוב + ליטוש UI של הדמו</t>
        </is>
      </c>
      <c r="D34" s="60" t="n">
        <v>46176</v>
      </c>
      <c r="E34" s="60" t="n">
        <v>46207</v>
      </c>
      <c r="F34" s="57">
        <f>E33-D33+1</f>
        <v/>
      </c>
      <c r="G34" s="61" t="inlineStr">
        <is>
          <t>DESIGN</t>
        </is>
      </c>
      <c r="H34" s="59" t="inlineStr">
        <is>
          <t>"חסר לא מעט" — לב הנתיב הקריטי</t>
        </is>
      </c>
    </row>
    <row r="35" ht="15" customHeight="1" s="40">
      <c r="A35" s="47" t="n">
        <v>27</v>
      </c>
      <c r="B35" s="48" t="inlineStr">
        <is>
          <t>אפליקציה</t>
        </is>
      </c>
      <c r="C35" s="49" t="inlineStr">
        <is>
          <t>חיבור tico-orb ל-TTS envelope + VAD</t>
        </is>
      </c>
      <c r="D35" s="50" t="n">
        <v>46181</v>
      </c>
      <c r="E35" s="50" t="n">
        <v>46191</v>
      </c>
      <c r="F35" s="47">
        <f>E34-D34+1</f>
        <v/>
      </c>
      <c r="G35" s="51" t="inlineStr">
        <is>
          <t>DEV</t>
        </is>
      </c>
      <c r="H35" s="49" t="inlineStr">
        <is>
          <t>פה לפי אמפליטודה; מעברי-מצב</t>
        </is>
      </c>
    </row>
    <row r="36" ht="15" customHeight="1" s="40">
      <c r="A36" s="57" t="n">
        <v>28</v>
      </c>
      <c r="B36" s="58" t="inlineStr">
        <is>
          <t>אפליקציה</t>
        </is>
      </c>
      <c r="C36" s="59" t="inlineStr">
        <is>
          <t>AGT-06 אימות מקצה-לקצה</t>
        </is>
      </c>
      <c r="D36" s="60" t="n">
        <v>46183</v>
      </c>
      <c r="E36" s="60" t="n">
        <v>46189</v>
      </c>
      <c r="F36" s="57">
        <f>E35-D35+1</f>
        <v/>
      </c>
      <c r="G36" s="61" t="inlineStr">
        <is>
          <t>DEV</t>
        </is>
      </c>
      <c r="H36" s="59" t="inlineStr">
        <is>
          <t>frontend לא אומת בזרימה מלאה</t>
        </is>
      </c>
    </row>
    <row r="37" ht="15" customHeight="1" s="40">
      <c r="A37" s="47" t="n">
        <v>29</v>
      </c>
      <c r="B37" s="48" t="inlineStr">
        <is>
          <t>אפליקציה</t>
        </is>
      </c>
      <c r="C37" s="49" t="inlineStr">
        <is>
          <t>מודל PTT (tap+VAD) + טריגר כפתור פיזי (Pico HID→F13)</t>
        </is>
      </c>
      <c r="D37" s="50" t="n">
        <v>46187</v>
      </c>
      <c r="E37" s="50" t="n">
        <v>46201</v>
      </c>
      <c r="F37" s="47">
        <f>E36-D36+1</f>
        <v/>
      </c>
      <c r="G37" s="51" t="inlineStr">
        <is>
          <t>KEY</t>
        </is>
      </c>
      <c r="H37" s="49" t="inlineStr">
        <is>
          <t>ליבה אומתה e2e 14.6: החלטה tap-to-open + VAD סוגר (לא hold). arcade button → Pico 2W (CircuitPython 10.2.1) → HID keystroke F13 → keydown ב-app.js (bindDisplayHotkeys, ענף else-if) → send(start_listening). אומת עם jumper GP21↔GND; Tico עבר ל-listening. רכיבים הוזמנו מ-Ali (~שבועיים): כפתור 30mm 5V clear ×10 · amber LED 5V prewired · טרנזיסטורים · נגדים · breadboard · jumpers. נותר: הרכבת כפתור כשמגיע · שכבת LED מונעת-מצב (GP16+טרנזיסטור, קוד מוכן) · commit app.js. אותו דפוס keystroke→WS פותח גם טריגר פיזי ל-takeaway (משימה 32).</t>
        </is>
      </c>
    </row>
    <row r="38" ht="15" customHeight="1" s="40">
      <c r="A38" s="57" t="n">
        <v>30</v>
      </c>
      <c r="B38" s="58" t="inlineStr">
        <is>
          <t>אפליקציה</t>
        </is>
      </c>
      <c r="C38" s="59" t="inlineStr">
        <is>
          <t>demo-mode לנפילת רשת (fallback ל-6 APIs)</t>
        </is>
      </c>
      <c r="D38" s="60" t="n">
        <v>46193</v>
      </c>
      <c r="E38" s="60" t="n">
        <v>46208</v>
      </c>
      <c r="F38" s="57">
        <f>E37-D37+1</f>
        <v/>
      </c>
      <c r="G38" s="61" t="inlineStr">
        <is>
          <t>KEY</t>
        </is>
      </c>
      <c r="H38" s="59" t="inlineStr">
        <is>
          <t>חובה — קו סלולרי בודד</t>
        </is>
      </c>
    </row>
    <row r="39" ht="15" customHeight="1" s="40">
      <c r="A39" s="47" t="n">
        <v>31</v>
      </c>
      <c r="B39" s="48" t="inlineStr">
        <is>
          <t>אפליקציה</t>
        </is>
      </c>
      <c r="C39" s="49" t="inlineStr">
        <is>
          <t>attract-loop + תוכן שיחה לקהל</t>
        </is>
      </c>
      <c r="D39" s="50" t="n">
        <v>46204</v>
      </c>
      <c r="E39" s="50" t="n">
        <v>46215</v>
      </c>
      <c r="F39" s="47">
        <f>E38-D38+1</f>
        <v/>
      </c>
      <c r="G39" s="51" t="inlineStr">
        <is>
          <t>CONTENT</t>
        </is>
      </c>
      <c r="H39" s="49" t="inlineStr">
        <is>
          <t>edge cases · תשובות ל-100–200 מבקרים</t>
        </is>
      </c>
    </row>
    <row r="40" ht="15" customHeight="1" s="40">
      <c r="A40" s="57" t="n">
        <v>32</v>
      </c>
      <c r="B40" s="58" t="inlineStr">
        <is>
          <t>אפליקציה</t>
        </is>
      </c>
      <c r="C40" s="59" t="inlineStr">
        <is>
          <t>שליחת מסלול שנבנה למבקר (QR → PDF)</t>
        </is>
      </c>
      <c r="D40" s="60" t="n">
        <v>46188</v>
      </c>
      <c r="E40" s="60" t="n">
        <v>46196</v>
      </c>
      <c r="F40" s="57">
        <f>E39-D39+1</f>
        <v/>
      </c>
      <c r="G40" s="61" t="inlineStr">
        <is>
          <t>DEV</t>
        </is>
      </c>
      <c r="H40" s="59" t="inlineStr">
        <is>
          <t>שכבת must-have הושלמה ואומתה e2e (generate_takeaway→R2→QR→PDF). email נהרג (PII). נותר: trigger דרך Stream Deck + commit</t>
        </is>
      </c>
    </row>
    <row r="41" ht="15" customHeight="1" s="40">
      <c r="A41" s="47" t="n">
        <v>33</v>
      </c>
      <c r="B41" s="48" t="inlineStr">
        <is>
          <t>אפליקציה</t>
        </is>
      </c>
      <c r="C41" s="49" t="inlineStr">
        <is>
          <t>אסטרטגיית תקציב TTS (שדרוג מ-NO_TTS)</t>
        </is>
      </c>
      <c r="D41" s="50" t="n">
        <v>46208</v>
      </c>
      <c r="E41" s="50" t="n">
        <v>46213</v>
      </c>
      <c r="F41" s="47">
        <f>E40-D40+1</f>
        <v/>
      </c>
      <c r="G41" s="51" t="inlineStr">
        <is>
          <t>KEY</t>
        </is>
      </c>
      <c r="H41" s="49" t="n"/>
    </row>
    <row r="42" ht="15" customHeight="1" s="40">
      <c r="A42" s="57" t="n">
        <v>34</v>
      </c>
      <c r="B42" s="58" t="inlineStr">
        <is>
          <t>אפליקציה</t>
        </is>
      </c>
      <c r="C42" s="59" t="inlineStr">
        <is>
          <t>(אופ') מנגנון interrupt "תעצור"/barge-in</t>
        </is>
      </c>
      <c r="D42" s="60" t="n">
        <v>46211</v>
      </c>
      <c r="E42" s="60" t="n">
        <v>46218</v>
      </c>
      <c r="F42" s="57">
        <f>E41-D41+1</f>
        <v/>
      </c>
      <c r="G42" s="61" t="inlineStr">
        <is>
          <t>DEV</t>
        </is>
      </c>
      <c r="H42" s="59" t="inlineStr">
        <is>
          <t>נדחה; רלוונטי לקהל חי</t>
        </is>
      </c>
    </row>
    <row r="43" ht="14.25" customHeight="1" s="40">
      <c r="A43" s="47" t="n">
        <v>35</v>
      </c>
      <c r="B43" s="48" t="inlineStr">
        <is>
          <t>אפליקציה</t>
        </is>
      </c>
      <c r="C43" s="49" t="inlineStr">
        <is>
          <t>QA אינטגרציה מלאה (כל הסוכנים e2e)</t>
        </is>
      </c>
      <c r="D43" s="50" t="n">
        <v>46216</v>
      </c>
      <c r="E43" s="50" t="n">
        <v>46225</v>
      </c>
      <c r="F43" s="47">
        <f>E42-D42+1</f>
        <v/>
      </c>
      <c r="G43" s="51" t="inlineStr">
        <is>
          <t>QA</t>
        </is>
      </c>
      <c r="H43" s="49" t="n"/>
    </row>
    <row r="44" ht="15" customHeight="1" s="40">
      <c r="A44" s="57" t="n">
        <v>36</v>
      </c>
      <c r="B44" s="58" t="inlineStr">
        <is>
          <t>אפליקציה</t>
        </is>
      </c>
      <c r="C44" s="59" t="inlineStr">
        <is>
          <t>pilot עם משתמשים אמיתיים</t>
        </is>
      </c>
      <c r="D44" s="60" t="n">
        <v>46225</v>
      </c>
      <c r="E44" s="60" t="n">
        <v>46231</v>
      </c>
      <c r="F44" s="57">
        <f>E43-D43+1</f>
        <v/>
      </c>
      <c r="G44" s="61" t="inlineStr">
        <is>
          <t>KEY</t>
        </is>
      </c>
      <c r="H44" s="59" t="inlineStr">
        <is>
          <t>לגלות הפתעות לפני קהל</t>
        </is>
      </c>
    </row>
    <row r="45" ht="15" customHeight="1" s="40">
      <c r="A45" s="47" t="n">
        <v>37</v>
      </c>
      <c r="B45" s="48" t="inlineStr">
        <is>
          <t>אפליקציה</t>
        </is>
      </c>
      <c r="C45" s="49" t="inlineStr">
        <is>
          <t>watchdog/auto-relaunch לריצה רציפה 14 ימים</t>
        </is>
      </c>
      <c r="D45" s="50" t="n">
        <v>46198</v>
      </c>
      <c r="E45" s="50" t="n">
        <v>46211</v>
      </c>
      <c r="F45" s="47" t="n"/>
      <c r="G45" s="51" t="inlineStr">
        <is>
          <t>DEV</t>
        </is>
      </c>
      <c r="H45" s="49" t="inlineStr">
        <is>
          <t>אם הדמו קורס בלילה בריצה לא-מאוישת — זיהוי + הפעלה-מחדש אוטומטית</t>
        </is>
      </c>
    </row>
    <row r="46" ht="15" customHeight="1" s="40">
      <c r="A46" s="57" t="n">
        <v>38</v>
      </c>
    </row>
    <row r="47" ht="15" customHeight="1" s="40">
      <c r="A47" s="46" t="inlineStr">
        <is>
          <t xml:space="preserve">  תערוכה / לוגיסטיקה — Exhibition</t>
        </is>
      </c>
    </row>
    <row r="48" ht="15" customHeight="1" s="40">
      <c r="A48" s="57" t="n">
        <v>39</v>
      </c>
      <c r="B48" s="58" t="inlineStr">
        <is>
          <t>תערוכה</t>
        </is>
      </c>
      <c r="C48" s="59" t="inlineStr">
        <is>
          <t>✅ החלטות חלל/מיצב</t>
        </is>
      </c>
      <c r="D48" s="60" t="n">
        <v>46171</v>
      </c>
      <c r="E48" s="60" t="n">
        <v>46171</v>
      </c>
      <c r="F48" s="57">
        <f>E45-D45+1</f>
        <v/>
      </c>
      <c r="G48" s="61" t="inlineStr">
        <is>
          <t>KEY</t>
        </is>
      </c>
      <c r="H48" s="59" t="inlineStr">
        <is>
          <t>מסך אחד · handset+PTT · Stream Deck Neo</t>
        </is>
      </c>
    </row>
    <row r="49" ht="15" customHeight="1" s="40">
      <c r="A49" s="47" t="n">
        <v>40</v>
      </c>
      <c r="B49" s="48" t="inlineStr">
        <is>
          <t>תערוכה</t>
        </is>
      </c>
      <c r="C49" s="49" t="inlineStr">
        <is>
          <t>קבלת spec מ-HIT</t>
        </is>
      </c>
      <c r="D49" s="50" t="n">
        <v>46174</v>
      </c>
      <c r="E49" s="50" t="n">
        <v>46183</v>
      </c>
      <c r="F49" s="47">
        <f>E46-D46+1</f>
        <v/>
      </c>
      <c r="G49" s="51" t="inlineStr">
        <is>
          <t>KEY</t>
        </is>
      </c>
      <c r="H49" s="49" t="inlineStr">
        <is>
          <t>היה ל-26.5, מאחר — חוסם פרק 7/מיפוי/חשמל</t>
        </is>
      </c>
    </row>
    <row r="50" ht="15" customHeight="1" s="40">
      <c r="A50" s="57" t="n">
        <v>41</v>
      </c>
      <c r="B50" s="58" t="inlineStr">
        <is>
          <t>תערוכה</t>
        </is>
      </c>
      <c r="C50" s="59" t="inlineStr">
        <is>
          <t>קביעת דגם Mac mini + גודל מסך</t>
        </is>
      </c>
      <c r="D50" s="60" t="n">
        <v>46176</v>
      </c>
      <c r="E50" s="60" t="n">
        <v>46183</v>
      </c>
      <c r="F50" s="57">
        <f>E47-D47+1</f>
        <v/>
      </c>
      <c r="G50" s="61" t="inlineStr">
        <is>
          <t>HW</t>
        </is>
      </c>
      <c r="H50" s="59" t="inlineStr">
        <is>
          <t>לחישוב חשמל מדויק</t>
        </is>
      </c>
    </row>
    <row r="51" ht="15" customHeight="1" s="40">
      <c r="A51" s="47" t="n">
        <v>42</v>
      </c>
      <c r="B51" s="48" t="inlineStr">
        <is>
          <t>תערוכה</t>
        </is>
      </c>
      <c r="C51" s="49" t="inlineStr">
        <is>
          <t>החלטת גיבוי חומרה (Mac mini/מודם/מיק רזרבי)</t>
        </is>
      </c>
      <c r="D51" s="50" t="n">
        <v>46185</v>
      </c>
      <c r="E51" s="50" t="n">
        <v>46193</v>
      </c>
      <c r="F51" s="47" t="n"/>
      <c r="G51" s="51" t="inlineStr">
        <is>
          <t>HW</t>
        </is>
      </c>
      <c r="H51" s="49" t="inlineStr">
        <is>
          <t>מה קורה אם רכיב נופל באמצע 14 הימים — להחליט על רזרבה לפני התערוכה</t>
        </is>
      </c>
    </row>
    <row r="52" ht="15" customHeight="1" s="40">
      <c r="A52" s="57" t="n">
        <v>43</v>
      </c>
      <c r="B52" s="58" t="inlineStr">
        <is>
          <t>תערוכה</t>
        </is>
      </c>
      <c r="C52" s="59" t="inlineStr">
        <is>
          <t>קבלת מודם סלולרי</t>
        </is>
      </c>
      <c r="D52" s="60" t="n">
        <v>46185</v>
      </c>
      <c r="E52" s="60" t="n">
        <v>46185</v>
      </c>
      <c r="F52" s="57">
        <f>E48-D48+1</f>
        <v/>
      </c>
      <c r="G52" s="61" t="inlineStr">
        <is>
          <t>HW</t>
        </is>
      </c>
      <c r="H52" s="59" t="inlineStr">
        <is>
          <t>~שבועיים — חוסם בדיקת demo-mode</t>
        </is>
      </c>
    </row>
    <row r="53" ht="15" customHeight="1" s="40">
      <c r="A53" s="47" t="n">
        <v>44</v>
      </c>
      <c r="B53" s="48" t="inlineStr">
        <is>
          <t>תערוכה</t>
        </is>
      </c>
      <c r="C53" s="49" t="inlineStr">
        <is>
          <t>מיפוי סופי + אישור חשמל/UPS מול האוצרת</t>
        </is>
      </c>
      <c r="D53" s="50" t="n">
        <v>46195</v>
      </c>
      <c r="E53" s="50" t="n">
        <v>46201</v>
      </c>
      <c r="F53" s="47">
        <f>E49-D49+1</f>
        <v/>
      </c>
      <c r="G53" s="51" t="inlineStr">
        <is>
          <t>KEY</t>
        </is>
      </c>
      <c r="H53" s="49" t="inlineStr">
        <is>
          <t>שקע 230V מוארק ייעודי + UPS קטן</t>
        </is>
      </c>
    </row>
    <row r="54" ht="15" customHeight="1" s="40">
      <c r="A54" s="57" t="n">
        <v>45</v>
      </c>
      <c r="B54" s="58" t="inlineStr">
        <is>
          <t>תערוכה</t>
        </is>
      </c>
      <c r="C54" s="59" t="inlineStr">
        <is>
          <t>בדיקת תנאי-אמת Mac mini בחלל</t>
        </is>
      </c>
      <c r="D54" s="60" t="n">
        <v>46209</v>
      </c>
      <c r="E54" s="60" t="n">
        <v>46215</v>
      </c>
      <c r="F54" s="57">
        <f>E50-D50+1</f>
        <v/>
      </c>
      <c r="G54" s="61" t="inlineStr">
        <is>
          <t>KEY</t>
        </is>
      </c>
      <c r="H54" s="59" t="inlineStr">
        <is>
          <t>מומלץ למשוך קדימה — לא להשאיר לסוף יולי</t>
        </is>
      </c>
    </row>
    <row r="55" ht="15" customHeight="1" s="40">
      <c r="A55" s="47" t="n">
        <v>46</v>
      </c>
      <c r="B55" s="48" t="inlineStr">
        <is>
          <t>תערוכה</t>
        </is>
      </c>
      <c r="C55" s="49" t="inlineStr">
        <is>
          <t>עיצוב פוסטר 1×0.7 (פורטרט)</t>
        </is>
      </c>
      <c r="D55" s="50" t="n">
        <v>46204</v>
      </c>
      <c r="E55" s="50" t="n">
        <v>46213</v>
      </c>
      <c r="F55" s="47">
        <f>E51-D51+1</f>
        <v/>
      </c>
      <c r="G55" s="51" t="inlineStr">
        <is>
          <t>DESIGN</t>
        </is>
      </c>
      <c r="H55" s="49" t="n"/>
    </row>
    <row r="56" ht="15" customHeight="1" s="40">
      <c r="A56" s="57" t="n">
        <v>47</v>
      </c>
      <c r="B56" s="58" t="inlineStr">
        <is>
          <t>תערוכה</t>
        </is>
      </c>
      <c r="C56" s="59" t="inlineStr">
        <is>
          <t>QR/הדפסת מסלול — takeaway פיזי למבקר</t>
        </is>
      </c>
      <c r="D56" s="60" t="n">
        <v>46216</v>
      </c>
      <c r="E56" s="60" t="n">
        <v>46219</v>
      </c>
      <c r="F56" s="57">
        <f>E52-D52+1</f>
        <v/>
      </c>
      <c r="G56" s="61" t="inlineStr">
        <is>
          <t>DESIGN</t>
        </is>
      </c>
      <c r="H56" s="59" t="inlineStr">
        <is>
          <t>פריסת הדפסה/QR; תלוי בפיצ'ר ה-export (משימה 32)</t>
        </is>
      </c>
    </row>
    <row r="57" ht="14.25" customHeight="1" s="40">
      <c r="A57" s="47" t="n">
        <v>48</v>
      </c>
      <c r="B57" s="48" t="inlineStr">
        <is>
          <t>תערוכה</t>
        </is>
      </c>
      <c r="C57" s="49" t="inlineStr">
        <is>
          <t>הדפסת פוסטר + חומרי הסבר</t>
        </is>
      </c>
      <c r="D57" s="50" t="n">
        <v>46223</v>
      </c>
      <c r="E57" s="50" t="n">
        <v>46229</v>
      </c>
      <c r="F57" s="47">
        <f>E53-D53+1</f>
        <v/>
      </c>
      <c r="G57" s="51" t="inlineStr">
        <is>
          <t>PRINT</t>
        </is>
      </c>
      <c r="H57" s="49" t="n"/>
    </row>
    <row r="58" ht="15" customHeight="1" s="40">
      <c r="A58" s="57" t="n">
        <v>49</v>
      </c>
      <c r="B58" s="58" t="inlineStr">
        <is>
          <t>תערוכה</t>
        </is>
      </c>
      <c r="C58" s="59" t="inlineStr">
        <is>
          <t>הרכבת חומרה + בדיקות</t>
        </is>
      </c>
      <c r="D58" s="60" t="n">
        <v>46231</v>
      </c>
      <c r="E58" s="60" t="n">
        <v>46237</v>
      </c>
      <c r="F58" s="57">
        <f>E54-D54+1</f>
        <v/>
      </c>
      <c r="G58" s="61" t="inlineStr">
        <is>
          <t>HW</t>
        </is>
      </c>
      <c r="H58" s="59" t="inlineStr">
        <is>
          <t>מסך · רמקול · מיקרופון · Stream Deck</t>
        </is>
      </c>
    </row>
    <row r="59" ht="15" customHeight="1" s="40">
      <c r="A59" s="47" t="n">
        <v>50</v>
      </c>
      <c r="B59" s="48" t="inlineStr">
        <is>
          <t>תערוכה</t>
        </is>
      </c>
      <c r="C59" s="49" t="inlineStr">
        <is>
          <t>הקמת התערוכה בחלל</t>
        </is>
      </c>
      <c r="D59" s="50" t="n">
        <v>46239</v>
      </c>
      <c r="E59" s="50" t="n">
        <v>46239</v>
      </c>
      <c r="F59" s="47">
        <f>E55-D55+1</f>
        <v/>
      </c>
      <c r="G59" s="51" t="inlineStr">
        <is>
          <t>SETUP</t>
        </is>
      </c>
      <c r="H59" s="49" t="inlineStr">
        <is>
          <t>התקנה + בדיקה סופית במקום</t>
        </is>
      </c>
    </row>
    <row r="60" ht="15" customHeight="1" s="40">
      <c r="A60" s="57" t="n">
        <v>51</v>
      </c>
      <c r="B60" s="58" t="inlineStr">
        <is>
          <t>תערוכה</t>
        </is>
      </c>
      <c r="C60" s="59" t="inlineStr">
        <is>
          <t>ימי תערוכה + תיעוד מערכת חיה</t>
        </is>
      </c>
      <c r="D60" s="60" t="n">
        <v>46240</v>
      </c>
      <c r="E60" s="60" t="n">
        <v>46253</v>
      </c>
      <c r="F60" s="57">
        <f>E56-D56+1</f>
        <v/>
      </c>
      <c r="G60" s="61" t="inlineStr">
        <is>
          <t>LIVE</t>
        </is>
      </c>
      <c r="H60" s="59" t="inlineStr">
        <is>
          <t>וידאו+סטילס · הפעלה יומית · feedback</t>
        </is>
      </c>
    </row>
    <row r="61" ht="15" customHeight="1" s="40">
      <c r="A61" s="47" t="n">
        <v>52</v>
      </c>
    </row>
    <row r="62" ht="15" customHeight="1" s="40">
      <c r="A62" s="46" t="inlineStr">
        <is>
          <t xml:space="preserve">  אבני דרך — Milestones</t>
        </is>
      </c>
    </row>
    <row r="63" ht="15" customHeight="1" s="40">
      <c r="A63" s="47" t="n">
        <v>53</v>
      </c>
      <c r="B63" s="48" t="inlineStr">
        <is>
          <t>אבן דרך</t>
        </is>
      </c>
      <c r="C63" s="49" t="inlineStr">
        <is>
          <t>📌 פגישת מנחה</t>
        </is>
      </c>
      <c r="D63" s="50" t="n">
        <v>46175</v>
      </c>
      <c r="E63" s="50" t="n">
        <v>46175</v>
      </c>
      <c r="F63" s="47">
        <f>E59-D59+1</f>
        <v/>
      </c>
      <c r="G63" s="51" t="inlineStr">
        <is>
          <t>KEY</t>
        </is>
      </c>
      <c r="H63" s="49" t="inlineStr">
        <is>
          <t>מגדיר את דרישות הצגת הביניים</t>
        </is>
      </c>
    </row>
    <row r="64" ht="15" customHeight="1" s="40">
      <c r="A64" s="57" t="n">
        <v>54</v>
      </c>
      <c r="B64" s="58" t="inlineStr">
        <is>
          <t>אבן דרך</t>
        </is>
      </c>
      <c r="C64" s="59" t="inlineStr">
        <is>
          <t>📌 הצגת ביניים</t>
        </is>
      </c>
      <c r="D64" s="60" t="n">
        <v>46189</v>
      </c>
      <c r="E64" s="60" t="n">
        <v>46189</v>
      </c>
      <c r="F64" s="57">
        <f>E60-D60+1</f>
        <v/>
      </c>
      <c r="G64" s="61" t="inlineStr">
        <is>
          <t>KEY</t>
        </is>
      </c>
      <c r="H64" s="59" t="inlineStr">
        <is>
          <t>יום שלישי 16.6 · deck v10 + presenter notes מוכנים · חזרה אחרונה 15.6 ערב · האתר לא מוצג</t>
        </is>
      </c>
    </row>
    <row r="65" ht="15" customHeight="1" s="40">
      <c r="A65" s="47" t="n">
        <v>55</v>
      </c>
      <c r="B65" s="48" t="inlineStr">
        <is>
          <t>אבן דרך</t>
        </is>
      </c>
      <c r="C65" s="49" t="inlineStr">
        <is>
          <t>📌 הקפאת ספר</t>
        </is>
      </c>
      <c r="D65" s="50" t="n">
        <v>46229</v>
      </c>
      <c r="E65" s="50" t="n">
        <v>46229</v>
      </c>
      <c r="F65" s="47">
        <f>E61-D61+1</f>
        <v/>
      </c>
      <c r="G65" s="51" t="inlineStr">
        <is>
          <t>KEY</t>
        </is>
      </c>
      <c r="H65" s="49" t="inlineStr">
        <is>
          <t>תוכן סופי לפני בנייה+הדפסה</t>
        </is>
      </c>
    </row>
    <row r="66" ht="15" customHeight="1" s="40">
      <c r="A66" s="57" t="n">
        <v>56</v>
      </c>
      <c r="B66" s="58" t="inlineStr">
        <is>
          <t>אבן דרך</t>
        </is>
      </c>
      <c r="C66" s="59" t="inlineStr">
        <is>
          <t>📌 dry-run מלא בתנאי תערוכה</t>
        </is>
      </c>
      <c r="D66" s="60" t="n">
        <v>46237</v>
      </c>
      <c r="E66" s="60" t="n">
        <v>46239</v>
      </c>
      <c r="F66" s="57">
        <f>E62-D62+1</f>
        <v/>
      </c>
      <c r="G66" s="61" t="inlineStr">
        <is>
          <t>KEY</t>
        </is>
      </c>
      <c r="H66" s="59" t="inlineStr">
        <is>
          <t>ריצה מלאה כמו יום הפתיחה</t>
        </is>
      </c>
    </row>
    <row r="67" ht="15" customHeight="1" s="40">
      <c r="A67" s="47" t="n">
        <v>57</v>
      </c>
      <c r="B67" s="48" t="inlineStr">
        <is>
          <t>אבן דרך</t>
        </is>
      </c>
      <c r="C67" s="49" t="inlineStr">
        <is>
          <t>📌 הגשת הספר</t>
        </is>
      </c>
      <c r="D67" s="50" t="n">
        <v>46238</v>
      </c>
      <c r="E67" s="50" t="n">
        <v>46238</v>
      </c>
      <c r="F67" s="47">
        <f>E63-D63+1</f>
        <v/>
      </c>
      <c r="G67" s="51" t="inlineStr">
        <is>
          <t>SUBMIT</t>
        </is>
      </c>
      <c r="H67" s="49" t="inlineStr">
        <is>
          <t>deadline</t>
        </is>
      </c>
    </row>
    <row r="68">
      <c r="A68" s="57" t="n">
        <v>58</v>
      </c>
      <c r="B68" s="58" t="inlineStr">
        <is>
          <t>אבן דרך</t>
        </is>
      </c>
      <c r="C68" s="59" t="inlineStr">
        <is>
          <t>📌 פתיחת תערוכה</t>
        </is>
      </c>
      <c r="D68" s="60" t="n">
        <v>46240</v>
      </c>
      <c r="E68" s="60" t="n">
        <v>46240</v>
      </c>
      <c r="F68" s="57">
        <f>E64-D64+1</f>
        <v/>
      </c>
      <c r="G68" s="61" t="inlineStr">
        <is>
          <t>LIVE</t>
        </is>
      </c>
      <c r="H68" s="59" t="n"/>
    </row>
  </sheetData>
  <mergeCells count="7">
    <mergeCell ref="A18:H18"/>
    <mergeCell ref="A1:H1"/>
    <mergeCell ref="A29:H29"/>
    <mergeCell ref="A2:H2"/>
    <mergeCell ref="A5:H5"/>
    <mergeCell ref="A46:H46"/>
    <mergeCell ref="A61:H6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39" min="1" max="1"/>
    <col width="30" customWidth="1" style="39" min="2" max="2"/>
    <col width="14" customWidth="1" style="39" min="3" max="4"/>
    <col width="12" customWidth="1" style="39" min="5" max="5"/>
    <col width="60" customWidth="1" style="39" min="6" max="6"/>
  </cols>
  <sheetData>
    <row r="1" ht="17.25" customHeight="1" s="40">
      <c r="A1" s="62" t="inlineStr">
        <is>
          <t>Track Summary</t>
        </is>
      </c>
    </row>
    <row r="2" ht="15" customHeight="1" s="40">
      <c r="A2" s="43" t="inlineStr">
        <is>
          <t>Track</t>
        </is>
      </c>
      <c r="B2" s="43" t="inlineStr">
        <is>
          <t>Name</t>
        </is>
      </c>
      <c r="C2" s="43" t="inlineStr">
        <is>
          <t>Start</t>
        </is>
      </c>
      <c r="D2" s="43" t="inlineStr">
        <is>
          <t>End</t>
        </is>
      </c>
      <c r="E2" s="43" t="inlineStr">
        <is>
          <t>Duration</t>
        </is>
      </c>
      <c r="F2" s="43" t="inlineStr">
        <is>
          <t>Focus</t>
        </is>
      </c>
    </row>
    <row r="3" ht="15" customHeight="1" s="40">
      <c r="A3" s="63" t="inlineStr">
        <is>
          <t>ספר</t>
        </is>
      </c>
      <c r="B3" s="63" t="inlineStr">
        <is>
          <t>ספר</t>
        </is>
      </c>
      <c r="C3" s="64">
        <f>MIN('Project Plan'!D6:D17)</f>
        <v/>
      </c>
      <c r="D3" s="64">
        <f>MAX('Project Plan'!E6:E17)</f>
        <v/>
      </c>
      <c r="E3" s="65">
        <f>D3-C3+1</f>
        <v/>
      </c>
      <c r="F3" s="66" t="inlineStr">
        <is>
          <t>טיוטה + rebrand פ'6 ✅ · נותר: פ'7, פ'9, אנגלית, ביבליו', הגהה, הדפסה</t>
        </is>
      </c>
    </row>
    <row r="4" ht="15" customHeight="1" s="40">
      <c r="A4" s="67" t="inlineStr">
        <is>
          <t>אתר</t>
        </is>
      </c>
      <c r="B4" s="67" t="inlineStr">
        <is>
          <t>אתר</t>
        </is>
      </c>
      <c r="C4" s="68">
        <f>MIN('Project Plan'!D19:D28)</f>
        <v/>
      </c>
      <c r="D4" s="68">
        <f>MAX('Project Plan'!E19:E28)</f>
        <v/>
      </c>
      <c r="E4" s="69">
        <f>D4-C4+1</f>
        <v/>
      </c>
      <c r="F4" s="70" t="inlineStr">
        <is>
          <t>מיגרציה + design-system + agents ✅ · נותר: פונט/favicon, איחוד טוקנים, exhibition, QA, מיזוג</t>
        </is>
      </c>
    </row>
    <row r="5" ht="15" customHeight="1" s="40">
      <c r="A5" s="71" t="inlineStr">
        <is>
          <t>אפליקציה</t>
        </is>
      </c>
      <c r="B5" s="71" t="inlineStr">
        <is>
          <t>אפליקציה + דמו</t>
        </is>
      </c>
      <c r="C5" s="72">
        <f>MIN('Project Plan'!D30:D45)</f>
        <v/>
      </c>
      <c r="D5" s="72">
        <f>MAX('Project Plan'!E30:E45)</f>
        <v/>
      </c>
      <c r="E5" s="73">
        <f>D5-C5+1</f>
        <v/>
      </c>
      <c r="F5" s="74" t="inlineStr">
        <is>
          <t>pipeline + 4 סוכנים ✅ · נותר: ליטוש UI, demo-mode, PTT, export/QR, pilot — קריטי</t>
        </is>
      </c>
    </row>
    <row r="6" ht="15" customHeight="1" s="40">
      <c r="A6" s="75" t="inlineStr">
        <is>
          <t>תערוכה</t>
        </is>
      </c>
      <c r="B6" s="75" t="inlineStr">
        <is>
          <t>תערוכה / לוגיסטיקה</t>
        </is>
      </c>
      <c r="C6" s="76">
        <f>MIN('Project Plan'!D47:D60)</f>
        <v/>
      </c>
      <c r="D6" s="76">
        <f>MAX('Project Plan'!E47:E60)</f>
        <v/>
      </c>
      <c r="E6" s="77">
        <f>D6-C6+1</f>
        <v/>
      </c>
      <c r="F6" s="78" t="inlineStr">
        <is>
          <t>החלטות חלל ✅ · נותר: spec, מיפוי, חשמל, Mac mini, פוסטר, הקמה, פירוק</t>
        </is>
      </c>
    </row>
    <row r="7" ht="15" customHeight="1" s="40">
      <c r="A7" s="79" t="inlineStr">
        <is>
          <t>אבן דרך</t>
        </is>
      </c>
      <c r="B7" s="79" t="inlineStr">
        <is>
          <t>אבני דרך</t>
        </is>
      </c>
      <c r="C7" s="80">
        <f>MIN('Project Plan'!D62:D67)</f>
        <v/>
      </c>
      <c r="D7" s="80">
        <f>MAX('Project Plan'!E62:E67)</f>
        <v/>
      </c>
      <c r="E7" s="81">
        <f>D7-C7+1</f>
        <v/>
      </c>
      <c r="F7" s="82" t="inlineStr">
        <is>
          <t>פגישת מנחה · הצגת ביניים · freeze · dry-run · הגשה · פתיחה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2026-03-28T09:29:11Z</dcterms:created>
  <dcterms:modified xmlns:dcterms="http://purl.org/dc/terms/" xmlns:xsi="http://www.w3.org/2001/XMLSchema-instance" xsi:type="dcterms:W3CDTF">2026-06-14T15:04:19Z</dcterms:modified>
  <cp:lastModifiedBy>דייויד קסטיאל</cp:lastModifiedBy>
  <cp:revision>0</cp:revision>
  <cp:lastPrinted>2026-03-31T05:59:50Z</cp:lastPrinted>
</cp:coreProperties>
</file>