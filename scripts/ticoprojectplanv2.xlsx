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" sheetId="1" state="visible" r:id="rId3"/>
    <sheet name="Track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<sst xmlns="http://schemas.openxmlformats.org/spreadsheetml/2006/main" count="343" uniqueCount="211">
  <si>
    <t xml:space="preserve">Odysee — Personal AI Travel Companion · Project Plan</t>
  </si>
  <si>
    <r>
      <rPr>
        <sz val="10"/>
        <color rgb="FF8A8070"/>
        <rFont val="Calibri"/>
        <family val="0"/>
        <charset val="1"/>
      </rPr>
      <t xml:space="preserve">David Castiel | M.Design · HIT | </t>
    </r>
    <r>
      <rPr>
        <sz val="10"/>
        <color rgb="FF8A8070"/>
        <rFont val="FreeSans"/>
        <family val="2"/>
      </rPr>
      <t xml:space="preserve">הגשת ספר </t>
    </r>
    <r>
      <rPr>
        <sz val="10"/>
        <color rgb="FF8A8070"/>
        <rFont val="Calibri"/>
        <family val="0"/>
        <charset val="1"/>
      </rPr>
      <t xml:space="preserve">4.8.2026 · </t>
    </r>
    <r>
      <rPr>
        <sz val="10"/>
        <color rgb="FF8A8070"/>
        <rFont val="FreeSans"/>
        <family val="2"/>
      </rPr>
      <t xml:space="preserve">תערוכה </t>
    </r>
    <r>
      <rPr>
        <sz val="10"/>
        <color rgb="FF8A8070"/>
        <rFont val="Calibri"/>
        <family val="0"/>
        <charset val="1"/>
      </rPr>
      <t xml:space="preserve">6–19.8.2026 | </t>
    </r>
    <r>
      <rPr>
        <sz val="10"/>
        <color rgb="FF8A8070"/>
        <rFont val="FreeSans"/>
        <family val="2"/>
      </rPr>
      <t xml:space="preserve">עודכן </t>
    </r>
    <r>
      <rPr>
        <sz val="10"/>
        <color rgb="FF8A8070"/>
        <rFont val="Calibri"/>
        <family val="0"/>
        <charset val="1"/>
      </rPr>
      <t xml:space="preserve">03.07.2026 — </t>
    </r>
    <r>
      <rPr>
        <sz val="10"/>
        <color rgb="FF8A8070"/>
        <rFont val="FreeSans"/>
        <family val="2"/>
      </rPr>
      <t xml:space="preserve">חלק מהתאריכים </t>
    </r>
    <r>
      <rPr>
        <sz val="10"/>
        <color rgb="FF8A8070"/>
        <rFont val="Calibri"/>
        <family val="0"/>
        <charset val="1"/>
      </rPr>
      <t xml:space="preserve">strawman, </t>
    </r>
    <r>
      <rPr>
        <sz val="10"/>
        <color rgb="FF8A8070"/>
        <rFont val="FreeSans"/>
        <family val="2"/>
      </rPr>
      <t xml:space="preserve">לאימות</t>
    </r>
  </si>
  <si>
    <t xml:space="preserve">#</t>
  </si>
  <si>
    <t xml:space="preserve">פאזה</t>
  </si>
  <si>
    <t xml:space="preserve">משימה</t>
  </si>
  <si>
    <t xml:space="preserve">תאריך התחלה</t>
  </si>
  <si>
    <t xml:space="preserve">תאריך סיום</t>
  </si>
  <si>
    <t xml:space="preserve">משך (ימים)</t>
  </si>
  <si>
    <t xml:space="preserve">סטטוס</t>
  </si>
  <si>
    <t xml:space="preserve">הערות</t>
  </si>
  <si>
    <t xml:space="preserve">  ספר — Book (freeze ~26.7 · הגשה 4.8)</t>
  </si>
  <si>
    <t xml:space="preserve">ספר</t>
  </si>
  <si>
    <t xml:space="preserve">✅ פרקים 1–6 (טיוטה)</t>
  </si>
  <si>
    <t xml:space="preserve">DOCS</t>
  </si>
  <si>
    <t xml:space="preserve">מבוא·רקע·קונספט·ארכיטקטורה·UX·מערכת עיצוב — טיוטה גמורה</t>
  </si>
  <si>
    <t xml:space="preserve">✅ פרק 8 "הדור הבא" + ביבליוגרפיה (41)</t>
  </si>
  <si>
    <t xml:space="preserve">נכתב ושולב; הדיון הפך לפרק 9</t>
  </si>
  <si>
    <t xml:space="preserve">✅ איורים פרקים 2/4/5 (וקטורי)</t>
  </si>
  <si>
    <t xml:space="preserve">DESIGN</t>
  </si>
  <si>
    <t xml:space="preserve">משפך אמון · מפת 11 סוכנים · journey map · 5 מסכים</t>
  </si>
  <si>
    <t xml:space="preserve">✅ שכתוב פרק 6 ל-Brand V5</t>
  </si>
  <si>
    <t xml:space="preserve">מתעד מותג בן-שני-דורות; יחד עם design-system.html</t>
  </si>
  <si>
    <t xml:space="preserve">אימות ביבליוגרפיה + תיקון רינדור bidi</t>
  </si>
  <si>
    <t xml:space="preserve">KEY</t>
  </si>
  <si>
    <t xml:space="preserve"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 · Phocuswright+89%=Booking מאומתים; נותר Chile/Apple/Nature</t>
  </si>
  <si>
    <t xml:space="preserve">6b</t>
  </si>
  <si>
    <t xml:space="preserve">✅ תיקון bidi ל-citations בגוף (\citep הפוך)</t>
  </si>
  <si>
    <t xml:space="preserve">✅ בקוד (\RenewDocumentCommand+\textenglish) — נותר אימות רנדר על PDF בלבד</t>
  </si>
  <si>
    <t xml:space="preserve">עריכת ניסוחים — כל הפרקים (Word flow)</t>
  </si>
  <si>
    <t xml:space="preserve">CONTENT</t>
  </si>
  <si>
    <t xml:space="preserve">David עורך ב-Word → החלה עדינה על ה-tex</t>
  </si>
  <si>
    <t xml:space="preserve">פרק 7 (תערוכה)</t>
  </si>
  <si>
    <t xml:space="preserve">חסום ל-spec + מיפוי סוף יוני · 14.7: spec צפוי להיסגר היום — פותחים את הפרק מיד אחריו</t>
  </si>
  <si>
    <t xml:space="preserve">פרק 9 (דיון)</t>
  </si>
  <si>
    <t xml:space="preserve">subsection קונסולידציה/מיקום (companion≠oracle) נוסף ואומת מול הדו״ח 9.6 (64/81/68 תוקנו: קטגוריה מול ChatGPT) · יתר הפרק לקראת הסוף</t>
  </si>
  <si>
    <t xml:space="preserve">Abstract אנגלית + עברית</t>
  </si>
  <si>
    <t xml:space="preserve">לפי תקנון HIT</t>
  </si>
  <si>
    <t xml:space="preserve">10b</t>
  </si>
  <si>
    <t xml:space="preserve">איורים לספר — סבב השלמה (כולל פיגורת לוגו + משפט-יישוב פ׳8)</t>
  </si>
  <si>
    <t xml:space="preserve">הפריט הפתוח הגדול בספר — כמעט אין איורים · מיזוג משימה 5</t>
  </si>
  <si>
    <t xml:space="preserve">הקפאת תוכן + הגהה + בנייה סופית</t>
  </si>
  <si>
    <t xml:space="preserve">freeze מוקדם — לא ב-4.8</t>
  </si>
  <si>
    <t xml:space="preserve">11b</t>
  </si>
  <si>
    <t xml:space="preserve">הדפסת ספר + כריכה בבית דפוס</t>
  </si>
  <si>
    <t xml:space="preserve">PRINT</t>
  </si>
  <si>
    <t xml:space="preserve">אחרי freeze 26.7 · לתאם lead-time עם בית הדפוס כבר עכשיו</t>
  </si>
  <si>
    <t xml:space="preserve">  אתר — Site (rebrand-v5 → main)</t>
  </si>
  <si>
    <t xml:space="preserve">אתר</t>
  </si>
  <si>
    <t xml:space="preserve">✅ מיגרציה Brand v1.0 + IA + next-generation</t>
  </si>
  <si>
    <t xml:space="preserve">5 עמודים + book/exhibition Coming Soon</t>
  </si>
  <si>
    <t xml:space="preserve">✅ rebrand V5: 8 לוגואים→פנים + צבעים</t>
  </si>
  <si>
    <t xml:space="preserve">ענף rebrand-v5</t>
  </si>
  <si>
    <t xml:space="preserve">✅ שכתוב design-system.html + hero-mark→פנים</t>
  </si>
  <si>
    <t xml:space="preserve">יחד עם פרק 6 בספר</t>
  </si>
  <si>
    <t xml:space="preserve">✅ תיקון agents.html ל-4 סוכנים חיים</t>
  </si>
  <si>
    <t xml:space="preserve">FIX</t>
  </si>
  <si>
    <t xml:space="preserve">סתירה ספר↔אתר (AGT-04 עדיין קונספטואלי באתר)</t>
  </si>
  <si>
    <t xml:space="preserve">Plus Jakarta Sans (גוף) + favicon.svg</t>
  </si>
  <si>
    <t xml:space="preserve">DEV</t>
  </si>
  <si>
    <t xml:space="preserve">עברית נשארת Heebo</t>
  </si>
  <si>
    <t xml:space="preserve">איחוד .brand-mark*+טוקנים לקובץ משותף</t>
  </si>
  <si>
    <t xml:space="preserve">חוב טכני — לפני שינויי מותג נוספים</t>
  </si>
  <si>
    <t xml:space="preserve">exhibition.html</t>
  </si>
  <si>
    <t xml:space="preserve">חסום ל-spec של HIT</t>
  </si>
  <si>
    <t xml:space="preserve">QA light/dark/mobile/RTL + OG image</t>
  </si>
  <si>
    <t xml:space="preserve">QA</t>
  </si>
  <si>
    <t xml:space="preserve">מיזוג rebrand-v5→main + פריסת GH Pages</t>
  </si>
  <si>
    <t xml:space="preserve">ודא .claude/worktrees ב-gitignore</t>
  </si>
  <si>
    <t xml:space="preserve">  אפליקציה + דמו — App &amp; Demo  ◀ נתיב קריטי</t>
  </si>
  <si>
    <t xml:space="preserve">אפליקציה</t>
  </si>
  <si>
    <t xml:space="preserve">✅ pipeline עובד (STT→agents→TTS)</t>
  </si>
  <si>
    <t xml:space="preserve">רץ יחסית טוב</t>
  </si>
  <si>
    <t xml:space="preserve">✅ 4 סוכנים עובדים בעיקרון (01/02/04/06)</t>
  </si>
  <si>
    <t xml:space="preserve">IMPL</t>
  </si>
  <si>
    <t xml:space="preserve">✅ tico-orb כפנים (idle/listen/think/speak)</t>
  </si>
  <si>
    <t xml:space="preserve">state machine + Web Audio</t>
  </si>
  <si>
    <t xml:space="preserve">עיצוב + ליטוש UI של הדמו</t>
  </si>
  <si>
    <t xml:space="preserve">"חסר לא מעט" — לב הנתיב הקריטי · 7.7: הצצה-משמאל (fix-4) הוצגה ואושרה ע"י חנן (טרם commit). spec ממנו ל-thinking: 3 נקודות + אישונים למעלה. משפט-פתיחה לפני tool ראשון = win מיידי ללטנטיות (חנן: "10 שניות לא מקובל")</t>
  </si>
  <si>
    <t xml:space="preserve">✅ חיבור tico-orb ל-TTS envelope + VAD</t>
  </si>
  <si>
    <t xml:space="preserve">פה לפי אמפליטודה; מעברי-מצב · מסומן סגור 14.7 (~90%) — אימות סופי במסגרת QA (35)</t>
  </si>
  <si>
    <t xml:space="preserve">✅ AGT-06 אימות מקצה-לקצה</t>
  </si>
  <si>
    <t xml:space="preserve">frontend לא אומת בזרימה מלאה · אומת שוב ושוב בריצות e2e מלאות מאז יוני</t>
  </si>
  <si>
    <t xml:space="preserve">✅ מודל PTT (tap+VAD) + טריגר כפתור פיזי (Pico HID→F13)</t>
  </si>
  <si>
    <t xml:space="preserve"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 · 7.7: הוחלט כפתור פיזי שני 🎫 ל-takeaway על אותו Pico (GPIO פנוי → F14). 6 כפתורים הגיעו — 2 לפלינת, השאר רזרבה. מארז: הלחמה+hot-glue (לא breadboard), step drill, מדידת קוטר לפני קידוח</t>
  </si>
  <si>
    <t xml:space="preserve">demo-mode לנפילת רשת (fallback ל-6 APIs)</t>
  </si>
  <si>
    <t xml:space="preserve">המודם עובד (7.7) · היקף ריאלי: graceful degradation — זיהוי ניתוק, הודעת מסך ידידותית, התאוששות אוטומטית · בדיקות: ניתוק מודם ב-idle / באמצע שיחה / באמצע takeaway</t>
  </si>
  <si>
    <t xml:space="preserve">attract-loop + תוכן שיחה לקהל</t>
  </si>
  <si>
    <t xml:space="preserve">edge cases · תשובות ל-100–200 מבקרים</t>
  </si>
  <si>
    <t xml:space="preserve">✅ שליחת מסלול שנבנה למבקר (QR → PDF)</t>
  </si>
  <si>
    <t xml:space="preserve">שכבת must-have הושלמה ואומתה e2e (generate_takeaway→R2→QR→PDF). email נהרג (PII). נותר: trigger דרך Stream Deck + commit · 7.7: QL-800 צעדים 1-4 הושלמו — usb מאומת, brother_ql, QR 25מ"מ נסרק עם URL מלא של R2. תווית הוחלטה 29×29 מגליל רציף DK-22210 (לרכוש; יש sample). נותר צעד 5: חיווט ב-tico_server (~2172/2180) מאחורי feature-flag</t>
  </si>
  <si>
    <t xml:space="preserve">32b</t>
  </si>
  <si>
    <t xml:space="preserve">✅ הדפסת תווית QL-800 + QR פיזי</t>
  </si>
  <si>
    <t xml:space="preserve">מנדטורי · קוד מאפס (אין כיום) · המצע = כרטיס boarding pass (47b)</t>
  </si>
  <si>
    <t xml:space="preserve">✅ אסטרטגיית תקציב TTS (שדרוג מ-NO_TTS)</t>
  </si>
  <si>
    <t xml:space="preserve">✅ eleven_v3 בפרודקשן · נותר: התראת מכסה — הועבר להערת ה-soak</t>
  </si>
  <si>
    <t xml:space="preserve">QA אינטגרציה מלאה (כל הסוכנים e2e)</t>
  </si>
  <si>
    <t xml:space="preserve">באגים ידועים לכיסוי: נעילת שפת-תגובה · reverse_geocoder ב-render · meta-prose</t>
  </si>
  <si>
    <t xml:space="preserve">pilot עם משתמשים אמיתיים</t>
  </si>
  <si>
    <t xml:space="preserve">בדיקות משתמשים — שלישי 21.7 · לגלות הפתעות לפני קהל</t>
  </si>
  <si>
    <t xml:space="preserve">36b</t>
  </si>
  <si>
    <t xml:space="preserve">🔴 Mac mini deploy: launchd · kiosk · VNC · STT-lock</t>
  </si>
  <si>
    <t xml:space="preserve">הנתיב הקריטי — חוסם את ה-soak · המכונה עדיין vanilla</t>
  </si>
  <si>
    <t xml:space="preserve">🔴 soak — ריצה רציפה 14 יום + watchdog</t>
  </si>
  <si>
    <t xml:space="preserve">חייב להתחיל ≤20.7 · כולל: התראת מכסה ElevenLabs · שים לב: reverse_geocoder ישלם ~50MB ב-takeaway ראשון על שרת טרי</t>
  </si>
  <si>
    <t xml:space="preserve">  סרט Hero — Hero Video  ◀ lead-time</t>
  </si>
  <si>
    <t xml:space="preserve">H1</t>
  </si>
  <si>
    <t xml:space="preserve">סרט</t>
  </si>
  <si>
    <t xml:space="preserve">✅ סטילס+הנפשה P1–P10</t>
  </si>
  <si>
    <t xml:space="preserve">משפחת-בית P1–P5 + רחוב/חשיפה P6–P10 · אנטי-דריפט מוכח · מנוע=Grok (Veo גיבוי)</t>
  </si>
  <si>
    <t xml:space="preserve">H2</t>
  </si>
  <si>
    <t xml:space="preserve">סטילס חסרים P11/P13/P14/P8b/P9b</t>
  </si>
  <si>
    <t xml:space="preserve">פרומפטים מוכנים ב-storyboard-v2</t>
  </si>
  <si>
    <t xml:space="preserve">H3</t>
  </si>
  <si>
    <t xml:space="preserve">P12 = זיכרון-אור (החלטת David)</t>
  </si>
  <si>
    <t xml:space="preserve">לא iPad (קו-אדום: מסך=עֵד, לא נהג) · ממתין לאישור חנן 7.7</t>
  </si>
  <si>
    <t xml:space="preserve">H4</t>
  </si>
  <si>
    <t xml:space="preserve">composite הסימן הווקטורי בכל שוט (Motion/AE)</t>
  </si>
  <si>
    <t xml:space="preserve">כולל שוט 13 בזיכרון-אור composited · חובה ל-6.7 · המשימה הגדולה שנותרה</t>
  </si>
  <si>
    <t xml:space="preserve">H5</t>
  </si>
  <si>
    <t xml:space="preserve">HD re-export P6–P10 + נרמול AR ל-16:9</t>
  </si>
  <si>
    <t xml:space="preserve">post-חנן · polish רזולוציה</t>
  </si>
  <si>
    <t xml:space="preserve">H6</t>
  </si>
  <si>
    <t xml:space="preserve">מוזיקה/פס-קול (~44ש שקט) + מיקס VO</t>
  </si>
  <si>
    <t xml:space="preserve">stretch · גרסה ראשונה עד 7.7 אם יש זמן · לא חוסם הצגת חנן · אחרת אחרי</t>
  </si>
  <si>
    <t xml:space="preserve">H7</t>
  </si>
  <si>
    <t xml:space="preserve">תיקוני עריכה סבב חנן + 3 long shots</t>
  </si>
  <si>
    <t xml:space="preserve">רשימת עריכה 7.7 (pop-in, pack shot, גשם particles, היפוך 34.15, dissolve+כיתוב) + 3 ג'נרוטים בגרוק (חדר/גשם/מוזיאון) + חוק קומפוזיט קבוע · יעד: גרסה לחנן ~14.7 בזום</t>
  </si>
  <si>
    <t xml:space="preserve">  תערוכה / לוגיסטיקה — Exhibition</t>
  </si>
  <si>
    <t xml:space="preserve">תערוכה</t>
  </si>
  <si>
    <t xml:space="preserve">✅ החלטות חלל/מיצב</t>
  </si>
  <si>
    <t xml:space="preserve">מסך אחד · handset+PTT · Stream Deck Neo</t>
  </si>
  <si>
    <t xml:space="preserve">קבלת spec מ-HIT</t>
  </si>
  <si>
    <t xml:space="preserve">היה ל-26.5, מאחר — חוסם פרק 7/מיפוי/חשמל · 14.7: צפוי להיסגר היום</t>
  </si>
  <si>
    <t xml:space="preserve">✅ קביעת דגם Mac mini + גודל מסך</t>
  </si>
  <si>
    <t xml:space="preserve">HW</t>
  </si>
  <si>
    <t xml:space="preserve">לחישוב חשמל מדויק</t>
  </si>
  <si>
    <t xml:space="preserve">החלטת גיבוי חומרה (Mac mini/מודם/מיק רזרבי)</t>
  </si>
  <si>
    <t xml:space="preserve">מה קורה אם רכיב נופל באמצע 14 הימים — להחליט על רזרבה לפני התערוכה · לדיון 14.7 ערב</t>
  </si>
  <si>
    <t xml:space="preserve">✅ קבלת מודם סלולרי</t>
  </si>
  <si>
    <t xml:space="preserve">~שבועיים — חוסם בדיקת demo-mode · 7.7: המודם ביד. בדיקה מיידית: אותו prompt על מודם מול Wi-Fi HIT — בקמפוס איטי משמעותית מהבית</t>
  </si>
  <si>
    <t xml:space="preserve">מיפוי סופי + אישור חשמל/UPS מול האוצרת</t>
  </si>
  <si>
    <t xml:space="preserve">שקע 230V מוארק ייעודי + UPS קטן</t>
  </si>
  <si>
    <t xml:space="preserve">44b</t>
  </si>
  <si>
    <t xml:space="preserve">✅ קונסטרוקציית רקע/קיר — יעד החלטה</t>
  </si>
  <si>
    <t xml:space="preserve">יעד להחלטת כיוון (מפושט) · לא ביצוע · חוסם מדבקת-קיר + טופס בטיחות</t>
  </si>
  <si>
    <t xml:space="preserve">עיצוב פוסטר 1×0.7 (פורטרט)</t>
  </si>
  <si>
    <t xml:space="preserve">46b</t>
  </si>
  <si>
    <t xml:space="preserve">מדבקת קיר — לוח המראות (בגודל מלא)</t>
  </si>
  <si>
    <t xml:space="preserve">artwork בגודל מלא של הלוח — עם ״חלון״ ריק שאליו מכוונים המקרנים (46c) → הדפסה (בית דפוס · זמן הדפסה = נעלם קריטי כמו הפוסטר) → הדבקה. מחליף מסך 40״ + Pi5 (הוסרו).</t>
  </si>
  <si>
    <t xml:space="preserve">46c</t>
  </si>
  <si>
    <t xml:space="preserve">לופ הודעות popup — 2 מקרנים בפינות</t>
  </si>
  <si>
    <t xml:space="preserve">בניית לופ הודעות ה-popup → נגן/סטרימר לכל מקרן (×2) → כיול הקרנה על הקיר (יישור/בהירות/keystone) בהקמה. תלוי ברכש 2 מקרנים+2 סטרימרים (בטופס). בהירות: קיר מואר-גלריה שוטף הקרנה — לוודא ~3000+ lumens או אזור מוצלל. ההקרנה חייבת ליפול על ה״חלון״ הריק במדבקה (46b). · ✅ מקרנים הוזמנו ואושרו (לוודא סטרימרים)</t>
  </si>
  <si>
    <t xml:space="preserve">46d</t>
  </si>
  <si>
    <t xml:space="preserve">החלטת תוכן מסך הדמיות (7 אובייקטים) → build</t>
  </si>
  <si>
    <t xml:space="preserve">קונפליקט סט 25.6 מול רשימת 7.7 + אילוץ חנן: 7 אובייקטים (כולל הסרט?) — הכרעת David חוסמת build · i7 + Neo, attract 12-18ש</t>
  </si>
  <si>
    <t xml:space="preserve">QR/הדפסת מסלול — takeaway פיזי למבקר</t>
  </si>
  <si>
    <t xml:space="preserve">פריסת הדפסה/QR; תלוי בפיצ'ר ה-export (משימה 32) · 7.7: חבילת דפוס דו-צדדית סופית — FRONT-v4 (ברקוד הוסר, שדה 30×30, הסימן נשאר) + BACK חדש (lockup + odysee.me) + brief v2. דו-צדדי אושר מול בית הדפוס — לשלוח עדכון הזמנה</t>
  </si>
  <si>
    <t xml:space="preserve">47b</t>
  </si>
  <si>
    <t xml:space="preserve">הזמנת הדפסת כרטיסי boarding pass</t>
  </si>
  <si>
    <t xml:space="preserve">מול בית דפוס · מצע פיזי לתווית QL-800 (32b) · עיצוב תלוי בפריסת takeaway · הוזמן · צפי הגעה ~20.7</t>
  </si>
  <si>
    <t xml:space="preserve">47c</t>
  </si>
  <si>
    <t xml:space="preserve">רכש: גליל DK-22210 (רציף 29) + סטנד כרטיסים</t>
  </si>
  <si>
    <t xml:space="preserve">גליל רציף 29מ"מ (לא die-cut) לתווית 29×29 — יש sample לבדיקת תבנית · סטנד ברושורים לשולחן (חנן 7.7) · 14.7: 2 גלילים נאספים היום · נותר: סטנד כרטיסים</t>
  </si>
  <si>
    <t xml:space="preserve">הדפסת פוסטר + קאפות (לוח יציאות) + חומרי הסבר</t>
  </si>
  <si>
    <t xml:space="preserve">קאפות תלויות באישור אוצרת 15.7</t>
  </si>
  <si>
    <t xml:space="preserve">הרכבת חומרה + בדיקות</t>
  </si>
  <si>
    <t xml:space="preserve">מסך · רמקול · אוזניית Jabra · כפתור Hammond · כולל בדיקת תנאי-אמת בחלל (מיזוג משימה 45)</t>
  </si>
  <si>
    <t xml:space="preserve">  אבני דרך — Milestones</t>
  </si>
  <si>
    <t xml:space="preserve">אבן דרך</t>
  </si>
  <si>
    <t xml:space="preserve">📌 פגישת מנחה</t>
  </si>
  <si>
    <t xml:space="preserve">מגדיר את דרישות הצגת הביניים</t>
  </si>
  <si>
    <t xml:space="preserve">📌 הצגת ביניים</t>
  </si>
  <si>
    <t xml:space="preserve">יום שלישי 16.6 · deck v10 + presenter notes מוכנים · חזרה אחרונה 15.6 ערב · האתר לא מוצג</t>
  </si>
  <si>
    <t xml:space="preserve">54b</t>
  </si>
  <si>
    <t xml:space="preserve">📌 הצגת video board לחנן</t>
  </si>
  <si>
    <t xml:space="preserve">יעד סיום board 06.07 · הצגת זיכרון-אור (במקום iPad) לאישור</t>
  </si>
  <si>
    <t xml:space="preserve">54c</t>
  </si>
  <si>
    <t xml:space="preserve">📌 אישור אוצרת — קיר/מידות/מיקום</t>
  </si>
  <si>
    <t xml:space="preserve">חוסם הדפסת קאפות לוח היציאות</t>
  </si>
  <si>
    <t xml:space="preserve">54d</t>
  </si>
  <si>
    <t xml:space="preserve">📌 תחילת soak 14 ימים</t>
  </si>
  <si>
    <t xml:space="preserve">על ה-Mac mini, ללא השגחה — התנאי: deploy הושלם</t>
  </si>
  <si>
    <t xml:space="preserve">📌 הקפאת ספר</t>
  </si>
  <si>
    <t xml:space="preserve">תוכן סופי לפני בנייה+הדפסה</t>
  </si>
  <si>
    <t xml:space="preserve">📌 dry-run מלא בתנאי תערוכה</t>
  </si>
  <si>
    <t xml:space="preserve">ריצה מלאה כמו יום הפתיחה</t>
  </si>
  <si>
    <t xml:space="preserve">56c</t>
  </si>
  <si>
    <t xml:space="preserve">📌 ביקורת ג'ורי במקום (מיצב עובד ~90%)</t>
  </si>
  <si>
    <t xml:space="preserve">יומיים לפני הפתיחה, במקום, על מיצב מונח ועובד (חנן 7.7) — הדדליין האפקטיבי של "הכל עובד"</t>
  </si>
  <si>
    <t xml:space="preserve">📌 הגשת הספר</t>
  </si>
  <si>
    <t xml:space="preserve">SUBMIT</t>
  </si>
  <si>
    <t xml:space="preserve">deadline</t>
  </si>
  <si>
    <t xml:space="preserve">📌 פתיחת תערוכה</t>
  </si>
  <si>
    <t xml:space="preserve">LIVE</t>
  </si>
  <si>
    <t xml:space="preserve">Track Summary</t>
  </si>
  <si>
    <t xml:space="preserve">Track</t>
  </si>
  <si>
    <t xml:space="preserve">Name</t>
  </si>
  <si>
    <t xml:space="preserve">Start</t>
  </si>
  <si>
    <t xml:space="preserve">End</t>
  </si>
  <si>
    <t xml:space="preserve">Duration</t>
  </si>
  <si>
    <t xml:space="preserve">Focus</t>
  </si>
  <si>
    <t xml:space="preserve">תוכן כמעט גמור · נותר: איורים (הפריט הגדול), פ׳7 (spec), פ׳9, אבסטרקט, הגהה, דפוס 27.7–3.8</t>
  </si>
  <si>
    <t xml:space="preserve">מיגרציה + design-system + agents ✅ · נותר: פונט/favicon, איחוד טוקנים, exhibition, QA, מיזוג</t>
  </si>
  <si>
    <t xml:space="preserve">אפליקציה + דמו</t>
  </si>
  <si>
    <t xml:space="preserve">נותר: 🔴 Mac mini deploy → soak 20.7 · demo-mode · attract-loop · QA · pilot 21.7</t>
  </si>
  <si>
    <t xml:space="preserve">סרט Hero</t>
  </si>
  <si>
    <t xml:space="preserve">P1–P10 ✅ · composite+שוט13 עד 6.7 · HD+מוזיקה אחרי 7.7</t>
  </si>
  <si>
    <t xml:space="preserve">תערוכה / לוגיסטיקה</t>
  </si>
  <si>
    <t xml:space="preserve">נותר: אוצרת 15.7 → קאפות · פוסטר · בית דפוס · boarding passes · הרכבה</t>
  </si>
  <si>
    <t xml:space="preserve">אבני דרך</t>
  </si>
  <si>
    <t xml:space="preserve">אוצרת 15.7 · soak 20.7 · freeze 26.7 · dry-run 3.8 · ג׳ורי 4.8 · הגשה 4.8 · פתיחה 6.8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</si>
</sst>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&quot; days&quot;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8A44A"/>
      <name val="Calibri"/>
      <family val="0"/>
      <charset val="1"/>
    </font>
    <font>
      <sz val="10"/>
      <color rgb="FF8A8070"/>
      <name val="Calibri"/>
      <family val="0"/>
      <charset val="1"/>
    </font>
    <font>
      <sz val="10"/>
      <color rgb="FF8A8070"/>
      <name val="FreeSans"/>
      <family val="2"/>
    </font>
    <font>
      <b val="true"/>
      <sz val="10"/>
      <color rgb="FFE4DDD0"/>
      <name val="Calibri"/>
      <family val="0"/>
      <charset val="1"/>
    </font>
    <font>
      <b val="true"/>
      <sz val="10"/>
      <color rgb="FFE4DDD0"/>
      <name val="FreeSans"/>
      <family val="2"/>
      <charset val="1"/>
    </font>
    <font>
      <b val="true"/>
      <sz val="11"/>
      <color rgb="FFC8A44A"/>
      <name val="FreeSans"/>
      <family val="2"/>
      <charset val="1"/>
    </font>
    <font>
      <sz val="10"/>
      <color rgb="FFE4DDD0"/>
      <name val="Calibri"/>
      <family val="0"/>
      <charset val="1"/>
    </font>
    <font>
      <sz val="10"/>
      <color rgb="FFE4DDD0"/>
      <name val="FreeSans"/>
      <family val="2"/>
      <charset val="1"/>
    </font>
    <font>
      <b val="true"/>
      <sz val="10"/>
      <color rgb="FF8B5CF6"/>
      <name val="Calibri"/>
      <family val="0"/>
      <charset val="1"/>
    </font>
    <font>
      <b val="true"/>
      <sz val="14"/>
      <color rgb="FFC8A44A"/>
      <name val="Calibri"/>
      <family val="0"/>
      <charset val="1"/>
    </font>
    <font>
      <b val="true"/>
      <sz val="10"/>
      <color rgb="FFC8A44A"/>
      <name val="FreeSans"/>
      <family val="2"/>
      <charset val="1"/>
    </font>
    <font>
      <sz val="10"/>
      <color rgb="FFD0C8BC"/>
      <name val="Calibri"/>
      <family val="0"/>
      <charset val="1"/>
    </font>
    <font>
      <sz val="10"/>
      <color rgb="FFD0C8BC"/>
      <name val="Free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333333"/>
      </patternFill>
    </fill>
    <fill>
      <patternFill patternType="solid">
        <fgColor rgb="FF0A0F22"/>
        <bgColor rgb="FF0E142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660066"/>
      <rgbColor rgb="FFFF8080"/>
      <rgbColor rgb="FF0066CC"/>
      <rgbColor rgb="FFE4DDD0"/>
      <rgbColor rgb="FF07091A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B5CF6"/>
      <rgbColor rgb="FFC8A44A"/>
      <rgbColor rgb="FF003366"/>
      <rgbColor rgb="FF339966"/>
      <rgbColor rgb="FF0E1428"/>
      <rgbColor rgb="FF3D2E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6"/>
    <col collapsed="false" customWidth="true" hidden="false" outlineLevel="0" max="7" min="6" style="1" width="12"/>
    <col collapsed="false" customWidth="true" hidden="false" outlineLevel="0" max="8" min="8" style="1" width="52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5" t="s">
        <v>3</v>
      </c>
      <c r="C4" s="6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6" t="s">
        <v>9</v>
      </c>
    </row>
    <row r="5" customFormat="false" ht="14.2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</row>
    <row r="6" customFormat="false" ht="15" hidden="false" customHeight="true" outlineLevel="0" collapsed="false">
      <c r="A6" s="8" t="n">
        <v>1</v>
      </c>
      <c r="B6" s="9" t="s">
        <v>11</v>
      </c>
      <c r="C6" s="10" t="s">
        <v>12</v>
      </c>
      <c r="D6" s="11" t="n">
        <v>46127</v>
      </c>
      <c r="E6" s="11" t="n">
        <v>46159</v>
      </c>
      <c r="F6" s="8" t="n">
        <f aca="false">E6-D6+1</f>
        <v>33</v>
      </c>
      <c r="G6" s="12" t="s">
        <v>13</v>
      </c>
      <c r="H6" s="10" t="s">
        <v>14</v>
      </c>
    </row>
    <row r="7" customFormat="false" ht="15" hidden="false" customHeight="true" outlineLevel="0" collapsed="false">
      <c r="A7" s="13" t="n">
        <v>2</v>
      </c>
      <c r="B7" s="14" t="s">
        <v>11</v>
      </c>
      <c r="C7" s="15" t="s">
        <v>15</v>
      </c>
      <c r="D7" s="16" t="n">
        <v>46162</v>
      </c>
      <c r="E7" s="16" t="n">
        <v>46165</v>
      </c>
      <c r="F7" s="13" t="n">
        <f aca="false">E7-D7+1</f>
        <v>4</v>
      </c>
      <c r="G7" s="17" t="s">
        <v>13</v>
      </c>
      <c r="H7" s="15" t="s">
        <v>16</v>
      </c>
    </row>
    <row r="8" customFormat="false" ht="15" hidden="false" customHeight="true" outlineLevel="0" collapsed="false">
      <c r="A8" s="8" t="n">
        <v>3</v>
      </c>
      <c r="B8" s="9" t="s">
        <v>11</v>
      </c>
      <c r="C8" s="10" t="s">
        <v>17</v>
      </c>
      <c r="D8" s="11" t="n">
        <v>46170</v>
      </c>
      <c r="E8" s="11" t="n">
        <v>46173</v>
      </c>
      <c r="F8" s="8" t="n">
        <f aca="false">E8-D8+1</f>
        <v>4</v>
      </c>
      <c r="G8" s="12" t="s">
        <v>18</v>
      </c>
      <c r="H8" s="10" t="s">
        <v>19</v>
      </c>
    </row>
    <row r="9" customFormat="false" ht="15" hidden="false" customHeight="true" outlineLevel="0" collapsed="false">
      <c r="A9" s="13" t="n">
        <v>4</v>
      </c>
      <c r="B9" s="14" t="s">
        <v>11</v>
      </c>
      <c r="C9" s="15" t="s">
        <v>20</v>
      </c>
      <c r="D9" s="16" t="n">
        <v>46176</v>
      </c>
      <c r="E9" s="16" t="n">
        <v>46185</v>
      </c>
      <c r="F9" s="13" t="n">
        <f aca="false">E9-D9+1</f>
        <v>10</v>
      </c>
      <c r="G9" s="17" t="s">
        <v>18</v>
      </c>
      <c r="H9" s="15" t="s">
        <v>21</v>
      </c>
    </row>
    <row r="10" customFormat="false" ht="15" hidden="false" customHeight="true" outlineLevel="0" collapsed="false">
      <c r="A10" s="13" t="n">
        <v>6</v>
      </c>
      <c r="B10" s="14" t="s">
        <v>11</v>
      </c>
      <c r="C10" s="15" t="s">
        <v>22</v>
      </c>
      <c r="D10" s="16" t="n">
        <v>46183</v>
      </c>
      <c r="E10" s="16" t="n">
        <v>46227</v>
      </c>
      <c r="F10" s="13" t="n">
        <f aca="false">E10-D10+1</f>
        <v>45</v>
      </c>
      <c r="G10" s="17" t="s">
        <v>23</v>
      </c>
      <c r="H10" s="15" t="s">
        <v>24</v>
      </c>
    </row>
    <row r="11" customFormat="false" ht="15" hidden="false" customHeight="true" outlineLevel="0" collapsed="false">
      <c r="A11" s="8" t="s">
        <v>25</v>
      </c>
      <c r="B11" s="9" t="s">
        <v>11</v>
      </c>
      <c r="C11" s="10" t="s">
        <v>26</v>
      </c>
      <c r="D11" s="11" t="n">
        <v>46186</v>
      </c>
      <c r="E11" s="11" t="n">
        <v>46191</v>
      </c>
      <c r="F11" s="8" t="n">
        <f aca="false">E11-D11+1</f>
        <v>6</v>
      </c>
      <c r="G11" s="12" t="s">
        <v>13</v>
      </c>
      <c r="H11" s="10" t="s">
        <v>27</v>
      </c>
    </row>
    <row r="12" customFormat="false" ht="15" hidden="false" customHeight="true" outlineLevel="0" collapsed="false">
      <c r="A12" s="13" t="n">
        <v>7</v>
      </c>
      <c r="B12" s="14" t="s">
        <v>11</v>
      </c>
      <c r="C12" s="15" t="s">
        <v>28</v>
      </c>
      <c r="D12" s="16" t="n">
        <v>46188</v>
      </c>
      <c r="E12" s="16" t="n">
        <v>46227</v>
      </c>
      <c r="F12" s="13" t="n">
        <f aca="false">E12-D12+1</f>
        <v>40</v>
      </c>
      <c r="G12" s="17" t="s">
        <v>29</v>
      </c>
      <c r="H12" s="15" t="s">
        <v>30</v>
      </c>
    </row>
    <row r="13" customFormat="false" ht="15" hidden="false" customHeight="true" outlineLevel="0" collapsed="false">
      <c r="A13" s="8" t="n">
        <v>8</v>
      </c>
      <c r="B13" s="9" t="s">
        <v>11</v>
      </c>
      <c r="C13" s="10" t="s">
        <v>31</v>
      </c>
      <c r="D13" s="11" t="n">
        <v>46218</v>
      </c>
      <c r="E13" s="11" t="n">
        <v>46227</v>
      </c>
      <c r="F13" s="8" t="n">
        <f aca="false">E13-D13+1</f>
        <v>10</v>
      </c>
      <c r="G13" s="12" t="s">
        <v>23</v>
      </c>
      <c r="H13" s="10" t="s">
        <v>32</v>
      </c>
    </row>
    <row r="14" customFormat="false" ht="15" hidden="false" customHeight="true" outlineLevel="0" collapsed="false">
      <c r="A14" s="13" t="n">
        <v>9</v>
      </c>
      <c r="B14" s="14" t="s">
        <v>11</v>
      </c>
      <c r="C14" s="15" t="s">
        <v>33</v>
      </c>
      <c r="D14" s="16" t="n">
        <v>46211</v>
      </c>
      <c r="E14" s="16" t="n">
        <v>46221</v>
      </c>
      <c r="F14" s="13" t="n">
        <f aca="false">E14-D14+1</f>
        <v>11</v>
      </c>
      <c r="G14" s="17" t="s">
        <v>13</v>
      </c>
      <c r="H14" s="15" t="s">
        <v>34</v>
      </c>
    </row>
    <row r="15" customFormat="false" ht="15" hidden="false" customHeight="true" outlineLevel="0" collapsed="false">
      <c r="A15" s="8" t="n">
        <v>10</v>
      </c>
      <c r="B15" s="9" t="s">
        <v>11</v>
      </c>
      <c r="C15" s="10" t="s">
        <v>35</v>
      </c>
      <c r="D15" s="11" t="n">
        <v>46218</v>
      </c>
      <c r="E15" s="11" t="n">
        <v>46223</v>
      </c>
      <c r="F15" s="8" t="n">
        <f aca="false">E15-D15+1</f>
        <v>6</v>
      </c>
      <c r="G15" s="12" t="s">
        <v>13</v>
      </c>
      <c r="H15" s="10" t="s">
        <v>36</v>
      </c>
    </row>
    <row r="16" customFormat="false" ht="15" hidden="false" customHeight="true" outlineLevel="0" collapsed="false">
      <c r="A16" s="8" t="s">
        <v>37</v>
      </c>
      <c r="B16" s="9" t="s">
        <v>11</v>
      </c>
      <c r="C16" s="10" t="s">
        <v>38</v>
      </c>
      <c r="D16" s="11" t="n">
        <v>46218</v>
      </c>
      <c r="E16" s="11" t="n">
        <v>46227</v>
      </c>
      <c r="F16" s="8" t="n">
        <f aca="false">E16-D16+1</f>
        <v>10</v>
      </c>
      <c r="G16" s="12" t="s">
        <v>18</v>
      </c>
      <c r="H16" s="10" t="s">
        <v>39</v>
      </c>
    </row>
    <row r="17" customFormat="false" ht="15" hidden="false" customHeight="true" outlineLevel="0" collapsed="false">
      <c r="A17" s="13" t="n">
        <v>11</v>
      </c>
      <c r="B17" s="14" t="s">
        <v>11</v>
      </c>
      <c r="C17" s="15" t="s">
        <v>40</v>
      </c>
      <c r="D17" s="16" t="n">
        <v>46223</v>
      </c>
      <c r="E17" s="16" t="n">
        <v>46229</v>
      </c>
      <c r="F17" s="13" t="n">
        <f aca="false">E17-D17+1</f>
        <v>7</v>
      </c>
      <c r="G17" s="17" t="s">
        <v>23</v>
      </c>
      <c r="H17" s="15" t="s">
        <v>41</v>
      </c>
    </row>
    <row r="18" customFormat="false" ht="14.25" hidden="false" customHeight="true" outlineLevel="0" collapsed="false">
      <c r="A18" s="13" t="s">
        <v>42</v>
      </c>
      <c r="B18" s="14" t="s">
        <v>11</v>
      </c>
      <c r="C18" s="15" t="s">
        <v>43</v>
      </c>
      <c r="D18" s="16" t="n">
        <v>46230</v>
      </c>
      <c r="E18" s="16" t="n">
        <v>46237</v>
      </c>
      <c r="F18" s="13" t="n">
        <f aca="false">E18-D18+1</f>
        <v>8</v>
      </c>
      <c r="G18" s="17" t="s">
        <v>44</v>
      </c>
      <c r="H18" s="15" t="s">
        <v>45</v>
      </c>
    </row>
    <row r="19" customFormat="false" ht="15" hidden="false" customHeight="true" outlineLevel="0" collapsed="false">
      <c r="A19" s="18"/>
      <c r="B19" s="18"/>
      <c r="C19" s="18"/>
      <c r="D19" s="18"/>
      <c r="E19" s="18"/>
      <c r="F19" s="18"/>
      <c r="G19" s="18"/>
      <c r="H19" s="18"/>
    </row>
    <row r="20" customFormat="false" ht="15" hidden="false" customHeight="true" outlineLevel="0" collapsed="false">
      <c r="A20" s="7" t="s">
        <v>46</v>
      </c>
      <c r="B20" s="7"/>
      <c r="C20" s="7"/>
      <c r="D20" s="7"/>
      <c r="E20" s="7"/>
      <c r="F20" s="7"/>
      <c r="G20" s="7"/>
      <c r="H20" s="7"/>
    </row>
    <row r="21" customFormat="false" ht="15" hidden="false" customHeight="true" outlineLevel="0" collapsed="false">
      <c r="A21" s="8" t="n">
        <v>13</v>
      </c>
      <c r="B21" s="9" t="s">
        <v>47</v>
      </c>
      <c r="C21" s="10" t="s">
        <v>48</v>
      </c>
      <c r="D21" s="11" t="n">
        <v>46160</v>
      </c>
      <c r="E21" s="11" t="n">
        <v>46165</v>
      </c>
      <c r="F21" s="8" t="n">
        <f aca="false">E21-D21+1</f>
        <v>6</v>
      </c>
      <c r="G21" s="12" t="s">
        <v>18</v>
      </c>
      <c r="H21" s="10" t="s">
        <v>49</v>
      </c>
    </row>
    <row r="22" customFormat="false" ht="15" hidden="false" customHeight="true" outlineLevel="0" collapsed="false">
      <c r="A22" s="13" t="n">
        <v>14</v>
      </c>
      <c r="B22" s="14" t="s">
        <v>47</v>
      </c>
      <c r="C22" s="15" t="s">
        <v>50</v>
      </c>
      <c r="D22" s="16" t="n">
        <v>46171</v>
      </c>
      <c r="E22" s="16" t="n">
        <v>46171</v>
      </c>
      <c r="F22" s="13" t="n">
        <f aca="false">E22-D22+1</f>
        <v>1</v>
      </c>
      <c r="G22" s="17" t="s">
        <v>18</v>
      </c>
      <c r="H22" s="15" t="s">
        <v>51</v>
      </c>
    </row>
    <row r="23" customFormat="false" ht="15" hidden="false" customHeight="true" outlineLevel="0" collapsed="false">
      <c r="A23" s="8" t="n">
        <v>15</v>
      </c>
      <c r="B23" s="9" t="s">
        <v>47</v>
      </c>
      <c r="C23" s="10" t="s">
        <v>52</v>
      </c>
      <c r="D23" s="11" t="n">
        <v>46176</v>
      </c>
      <c r="E23" s="11" t="n">
        <v>46185</v>
      </c>
      <c r="F23" s="8" t="n">
        <f aca="false">E23-D23+1</f>
        <v>10</v>
      </c>
      <c r="G23" s="12" t="s">
        <v>18</v>
      </c>
      <c r="H23" s="10" t="s">
        <v>53</v>
      </c>
    </row>
    <row r="24" customFormat="false" ht="15" hidden="false" customHeight="true" outlineLevel="0" collapsed="false">
      <c r="A24" s="13" t="n">
        <v>16</v>
      </c>
      <c r="B24" s="14" t="s">
        <v>47</v>
      </c>
      <c r="C24" s="15" t="s">
        <v>54</v>
      </c>
      <c r="D24" s="16" t="n">
        <v>46177</v>
      </c>
      <c r="E24" s="16" t="n">
        <v>46179</v>
      </c>
      <c r="F24" s="13" t="n">
        <f aca="false">E24-D24+1</f>
        <v>3</v>
      </c>
      <c r="G24" s="17" t="s">
        <v>55</v>
      </c>
      <c r="H24" s="15" t="s">
        <v>56</v>
      </c>
    </row>
    <row r="25" customFormat="false" ht="15" hidden="false" customHeight="true" outlineLevel="0" collapsed="false">
      <c r="A25" s="8" t="n">
        <v>17</v>
      </c>
      <c r="B25" s="9" t="s">
        <v>47</v>
      </c>
      <c r="C25" s="10" t="s">
        <v>57</v>
      </c>
      <c r="D25" s="11" t="n">
        <v>46183</v>
      </c>
      <c r="E25" s="11" t="n">
        <v>46187</v>
      </c>
      <c r="F25" s="8" t="n">
        <f aca="false">E25-D25+1</f>
        <v>5</v>
      </c>
      <c r="G25" s="12" t="s">
        <v>58</v>
      </c>
      <c r="H25" s="10" t="s">
        <v>59</v>
      </c>
    </row>
    <row r="26" customFormat="false" ht="15" hidden="false" customHeight="true" outlineLevel="0" collapsed="false">
      <c r="A26" s="13" t="n">
        <v>18</v>
      </c>
      <c r="B26" s="14" t="s">
        <v>47</v>
      </c>
      <c r="C26" s="15" t="s">
        <v>60</v>
      </c>
      <c r="D26" s="16" t="n">
        <v>46185</v>
      </c>
      <c r="E26" s="16" t="n">
        <v>46191</v>
      </c>
      <c r="F26" s="13" t="n">
        <f aca="false">E26-D26+1</f>
        <v>7</v>
      </c>
      <c r="G26" s="17" t="s">
        <v>58</v>
      </c>
      <c r="H26" s="15" t="s">
        <v>61</v>
      </c>
    </row>
    <row r="27" customFormat="false" ht="15" hidden="false" customHeight="true" outlineLevel="0" collapsed="false">
      <c r="A27" s="8" t="n">
        <v>19</v>
      </c>
      <c r="B27" s="9" t="s">
        <v>47</v>
      </c>
      <c r="C27" s="10" t="s">
        <v>62</v>
      </c>
      <c r="D27" s="11" t="n">
        <v>46201</v>
      </c>
      <c r="E27" s="11" t="n">
        <v>46213</v>
      </c>
      <c r="F27" s="8" t="n">
        <f aca="false">E27-D27+1</f>
        <v>13</v>
      </c>
      <c r="G27" s="12" t="s">
        <v>18</v>
      </c>
      <c r="H27" s="10" t="s">
        <v>63</v>
      </c>
    </row>
    <row r="28" customFormat="false" ht="15" hidden="false" customHeight="true" outlineLevel="0" collapsed="false">
      <c r="A28" s="13" t="n">
        <v>20</v>
      </c>
      <c r="B28" s="14" t="s">
        <v>47</v>
      </c>
      <c r="C28" s="15" t="s">
        <v>64</v>
      </c>
      <c r="D28" s="16" t="n">
        <v>46215</v>
      </c>
      <c r="E28" s="16" t="n">
        <v>46221</v>
      </c>
      <c r="F28" s="13" t="n">
        <f aca="false">E28-D28+1</f>
        <v>7</v>
      </c>
      <c r="G28" s="17" t="s">
        <v>65</v>
      </c>
      <c r="H28" s="15"/>
    </row>
    <row r="29" customFormat="false" ht="14.25" hidden="false" customHeight="true" outlineLevel="0" collapsed="false">
      <c r="A29" s="8" t="n">
        <v>21</v>
      </c>
      <c r="B29" s="9" t="s">
        <v>47</v>
      </c>
      <c r="C29" s="10" t="s">
        <v>66</v>
      </c>
      <c r="D29" s="11" t="n">
        <v>46221</v>
      </c>
      <c r="E29" s="11" t="n">
        <v>46223</v>
      </c>
      <c r="F29" s="8" t="n">
        <f aca="false">E29-D29+1</f>
        <v>3</v>
      </c>
      <c r="G29" s="12" t="s">
        <v>58</v>
      </c>
      <c r="H29" s="10" t="s">
        <v>67</v>
      </c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</row>
    <row r="31" customFormat="false" ht="15" hidden="false" customHeight="true" outlineLevel="0" collapsed="false">
      <c r="A31" s="7" t="s">
        <v>68</v>
      </c>
      <c r="B31" s="7"/>
      <c r="C31" s="7"/>
      <c r="D31" s="7"/>
      <c r="E31" s="7"/>
      <c r="F31" s="7"/>
      <c r="G31" s="7"/>
      <c r="H31" s="7"/>
    </row>
    <row r="32" customFormat="false" ht="15" hidden="false" customHeight="true" outlineLevel="0" collapsed="false">
      <c r="A32" s="13" t="n">
        <v>23</v>
      </c>
      <c r="B32" s="14" t="s">
        <v>69</v>
      </c>
      <c r="C32" s="15" t="s">
        <v>70</v>
      </c>
      <c r="D32" s="16" t="n">
        <v>46143</v>
      </c>
      <c r="E32" s="16" t="n">
        <v>46170</v>
      </c>
      <c r="F32" s="13" t="n">
        <f aca="false">E32-D32+1</f>
        <v>28</v>
      </c>
      <c r="G32" s="17" t="s">
        <v>58</v>
      </c>
      <c r="H32" s="15" t="s">
        <v>71</v>
      </c>
    </row>
    <row r="33" customFormat="false" ht="15" hidden="false" customHeight="true" outlineLevel="0" collapsed="false">
      <c r="A33" s="8" t="n">
        <v>24</v>
      </c>
      <c r="B33" s="9" t="s">
        <v>69</v>
      </c>
      <c r="C33" s="10" t="s">
        <v>72</v>
      </c>
      <c r="D33" s="11" t="n">
        <v>46143</v>
      </c>
      <c r="E33" s="11" t="n">
        <v>46170</v>
      </c>
      <c r="F33" s="8" t="n">
        <f aca="false">E33-D33+1</f>
        <v>28</v>
      </c>
      <c r="G33" s="12" t="s">
        <v>73</v>
      </c>
      <c r="H33" s="10"/>
    </row>
    <row r="34" customFormat="false" ht="15" hidden="false" customHeight="true" outlineLevel="0" collapsed="false">
      <c r="A34" s="13" t="n">
        <v>25</v>
      </c>
      <c r="B34" s="14" t="s">
        <v>69</v>
      </c>
      <c r="C34" s="15" t="s">
        <v>74</v>
      </c>
      <c r="D34" s="16" t="n">
        <v>46171</v>
      </c>
      <c r="E34" s="16" t="n">
        <v>46171</v>
      </c>
      <c r="F34" s="13" t="n">
        <f aca="false">E34-D34+1</f>
        <v>1</v>
      </c>
      <c r="G34" s="17" t="s">
        <v>58</v>
      </c>
      <c r="H34" s="15" t="s">
        <v>75</v>
      </c>
    </row>
    <row r="35" customFormat="false" ht="15" hidden="false" customHeight="true" outlineLevel="0" collapsed="false">
      <c r="A35" s="8" t="n">
        <v>26</v>
      </c>
      <c r="B35" s="9" t="s">
        <v>69</v>
      </c>
      <c r="C35" s="10" t="s">
        <v>76</v>
      </c>
      <c r="D35" s="11" t="n">
        <v>46176</v>
      </c>
      <c r="E35" s="11" t="n">
        <v>46221</v>
      </c>
      <c r="F35" s="8" t="n">
        <f aca="false">E35-D35+1</f>
        <v>46</v>
      </c>
      <c r="G35" s="12" t="s">
        <v>18</v>
      </c>
      <c r="H35" s="10" t="s">
        <v>77</v>
      </c>
    </row>
    <row r="36" customFormat="false" ht="15" hidden="false" customHeight="true" outlineLevel="0" collapsed="false">
      <c r="A36" s="13" t="n">
        <v>27</v>
      </c>
      <c r="B36" s="14" t="s">
        <v>69</v>
      </c>
      <c r="C36" s="15" t="s">
        <v>78</v>
      </c>
      <c r="D36" s="16" t="n">
        <v>46181</v>
      </c>
      <c r="E36" s="16" t="n">
        <v>46191</v>
      </c>
      <c r="F36" s="13" t="n">
        <f aca="false">E36-D36+1</f>
        <v>11</v>
      </c>
      <c r="G36" s="17" t="s">
        <v>58</v>
      </c>
      <c r="H36" s="15" t="s">
        <v>79</v>
      </c>
    </row>
    <row r="37" customFormat="false" ht="15" hidden="false" customHeight="true" outlineLevel="0" collapsed="false">
      <c r="A37" s="8" t="n">
        <v>28</v>
      </c>
      <c r="B37" s="9" t="s">
        <v>69</v>
      </c>
      <c r="C37" s="10" t="s">
        <v>80</v>
      </c>
      <c r="D37" s="11" t="n">
        <v>46183</v>
      </c>
      <c r="E37" s="11" t="n">
        <v>46189</v>
      </c>
      <c r="F37" s="8" t="n">
        <f aca="false">E37-D37+1</f>
        <v>7</v>
      </c>
      <c r="G37" s="12" t="s">
        <v>58</v>
      </c>
      <c r="H37" s="10" t="s">
        <v>81</v>
      </c>
    </row>
    <row r="38" customFormat="false" ht="15" hidden="false" customHeight="true" outlineLevel="0" collapsed="false">
      <c r="A38" s="13" t="n">
        <v>29</v>
      </c>
      <c r="B38" s="14" t="s">
        <v>69</v>
      </c>
      <c r="C38" s="15" t="s">
        <v>82</v>
      </c>
      <c r="D38" s="16" t="n">
        <v>46187</v>
      </c>
      <c r="E38" s="16" t="n">
        <v>46201</v>
      </c>
      <c r="F38" s="13" t="n">
        <f aca="false">E38-D38+1</f>
        <v>15</v>
      </c>
      <c r="G38" s="17" t="s">
        <v>23</v>
      </c>
      <c r="H38" s="15" t="s">
        <v>83</v>
      </c>
    </row>
    <row r="39" customFormat="false" ht="15" hidden="false" customHeight="true" outlineLevel="0" collapsed="false">
      <c r="A39" s="8" t="n">
        <v>30</v>
      </c>
      <c r="B39" s="9" t="s">
        <v>69</v>
      </c>
      <c r="C39" s="10" t="s">
        <v>84</v>
      </c>
      <c r="D39" s="11" t="n">
        <v>46218</v>
      </c>
      <c r="E39" s="11" t="n">
        <v>46222</v>
      </c>
      <c r="F39" s="8" t="n">
        <f aca="false">E39-D39+1</f>
        <v>5</v>
      </c>
      <c r="G39" s="12" t="s">
        <v>23</v>
      </c>
      <c r="H39" s="10" t="s">
        <v>85</v>
      </c>
    </row>
    <row r="40" customFormat="false" ht="15" hidden="false" customHeight="true" outlineLevel="0" collapsed="false">
      <c r="A40" s="13" t="n">
        <v>31</v>
      </c>
      <c r="B40" s="14" t="s">
        <v>69</v>
      </c>
      <c r="C40" s="15" t="s">
        <v>86</v>
      </c>
      <c r="D40" s="16" t="n">
        <v>46218</v>
      </c>
      <c r="E40" s="16" t="n">
        <v>46227</v>
      </c>
      <c r="F40" s="13" t="n">
        <f aca="false">E40-D40+1</f>
        <v>10</v>
      </c>
      <c r="G40" s="17" t="s">
        <v>29</v>
      </c>
      <c r="H40" s="15" t="s">
        <v>87</v>
      </c>
    </row>
    <row r="41" customFormat="false" ht="15" hidden="false" customHeight="true" outlineLevel="0" collapsed="false">
      <c r="A41" s="8" t="n">
        <v>32</v>
      </c>
      <c r="B41" s="9" t="s">
        <v>69</v>
      </c>
      <c r="C41" s="10" t="s">
        <v>88</v>
      </c>
      <c r="D41" s="11" t="n">
        <v>46188</v>
      </c>
      <c r="E41" s="11" t="n">
        <v>46196</v>
      </c>
      <c r="F41" s="8" t="n">
        <f aca="false">E41-D41+1</f>
        <v>9</v>
      </c>
      <c r="G41" s="12" t="s">
        <v>58</v>
      </c>
      <c r="H41" s="10" t="s">
        <v>89</v>
      </c>
    </row>
    <row r="42" customFormat="false" ht="15" hidden="false" customHeight="true" outlineLevel="0" collapsed="false">
      <c r="A42" s="13" t="s">
        <v>90</v>
      </c>
      <c r="B42" s="14" t="s">
        <v>69</v>
      </c>
      <c r="C42" s="15" t="s">
        <v>91</v>
      </c>
      <c r="D42" s="16" t="n">
        <v>46209</v>
      </c>
      <c r="E42" s="16" t="n">
        <v>46216</v>
      </c>
      <c r="F42" s="13" t="n">
        <f aca="false">E42-D42+1</f>
        <v>8</v>
      </c>
      <c r="G42" s="17" t="s">
        <v>58</v>
      </c>
      <c r="H42" s="15" t="s">
        <v>92</v>
      </c>
    </row>
    <row r="43" customFormat="false" ht="14.25" hidden="false" customHeight="true" outlineLevel="0" collapsed="false">
      <c r="A43" s="8" t="n">
        <v>33</v>
      </c>
      <c r="B43" s="9" t="s">
        <v>69</v>
      </c>
      <c r="C43" s="10" t="s">
        <v>93</v>
      </c>
      <c r="D43" s="11" t="n">
        <v>46208</v>
      </c>
      <c r="E43" s="11" t="n">
        <v>46213</v>
      </c>
      <c r="F43" s="8" t="n">
        <f aca="false">E43-D43+1</f>
        <v>6</v>
      </c>
      <c r="G43" s="12" t="s">
        <v>23</v>
      </c>
      <c r="H43" s="10" t="s">
        <v>94</v>
      </c>
    </row>
    <row r="44" customFormat="false" ht="15" hidden="false" customHeight="true" outlineLevel="0" collapsed="false">
      <c r="A44" s="8" t="n">
        <v>35</v>
      </c>
      <c r="B44" s="9" t="s">
        <v>69</v>
      </c>
      <c r="C44" s="10" t="s">
        <v>95</v>
      </c>
      <c r="D44" s="11" t="n">
        <v>46216</v>
      </c>
      <c r="E44" s="11" t="n">
        <v>46225</v>
      </c>
      <c r="F44" s="8" t="n">
        <f aca="false">E44-D44+1</f>
        <v>10</v>
      </c>
      <c r="G44" s="12" t="s">
        <v>65</v>
      </c>
      <c r="H44" s="10" t="s">
        <v>96</v>
      </c>
    </row>
    <row r="45" customFormat="false" ht="15" hidden="false" customHeight="true" outlineLevel="0" collapsed="false">
      <c r="A45" s="13" t="n">
        <v>36</v>
      </c>
      <c r="B45" s="14" t="s">
        <v>69</v>
      </c>
      <c r="C45" s="15" t="s">
        <v>97</v>
      </c>
      <c r="D45" s="16" t="n">
        <v>46224</v>
      </c>
      <c r="E45" s="16" t="n">
        <v>46227</v>
      </c>
      <c r="F45" s="13" t="n">
        <f aca="false">E45-D45+1</f>
        <v>4</v>
      </c>
      <c r="G45" s="17" t="s">
        <v>23</v>
      </c>
      <c r="H45" s="15" t="s">
        <v>98</v>
      </c>
    </row>
    <row r="46" customFormat="false" ht="15" hidden="false" customHeight="true" outlineLevel="0" collapsed="false">
      <c r="A46" s="13" t="s">
        <v>99</v>
      </c>
      <c r="B46" s="14" t="s">
        <v>69</v>
      </c>
      <c r="C46" s="15" t="s">
        <v>100</v>
      </c>
      <c r="D46" s="16" t="n">
        <v>46217</v>
      </c>
      <c r="E46" s="16" t="n">
        <v>46222</v>
      </c>
      <c r="F46" s="13" t="n">
        <f aca="false">E46-D46+1</f>
        <v>6</v>
      </c>
      <c r="G46" s="17" t="s">
        <v>23</v>
      </c>
      <c r="H46" s="15" t="s">
        <v>101</v>
      </c>
    </row>
    <row r="47" customFormat="false" ht="15" hidden="false" customHeight="true" outlineLevel="0" collapsed="false">
      <c r="A47" s="8" t="n">
        <v>37</v>
      </c>
      <c r="B47" s="9" t="s">
        <v>69</v>
      </c>
      <c r="C47" s="10" t="s">
        <v>102</v>
      </c>
      <c r="D47" s="11" t="n">
        <v>46223</v>
      </c>
      <c r="E47" s="11" t="n">
        <v>46237</v>
      </c>
      <c r="F47" s="8" t="n">
        <f aca="false">E47-D47+1</f>
        <v>15</v>
      </c>
      <c r="G47" s="12" t="s">
        <v>58</v>
      </c>
      <c r="H47" s="10" t="s">
        <v>103</v>
      </c>
    </row>
    <row r="48" customFormat="false" ht="1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</row>
    <row r="49" customFormat="false" ht="15" hidden="false" customHeight="true" outlineLevel="0" collapsed="false">
      <c r="A49" s="7" t="s">
        <v>104</v>
      </c>
      <c r="B49" s="7"/>
      <c r="C49" s="7"/>
      <c r="D49" s="7"/>
      <c r="E49" s="7"/>
      <c r="F49" s="7"/>
      <c r="G49" s="7"/>
      <c r="H49" s="7"/>
    </row>
    <row r="50" customFormat="false" ht="15" hidden="false" customHeight="true" outlineLevel="0" collapsed="false">
      <c r="A50" s="13" t="s">
        <v>105</v>
      </c>
      <c r="B50" s="14" t="s">
        <v>106</v>
      </c>
      <c r="C50" s="15" t="s">
        <v>107</v>
      </c>
      <c r="D50" s="16" t="n">
        <v>46193</v>
      </c>
      <c r="E50" s="16" t="n">
        <v>46204</v>
      </c>
      <c r="F50" s="13" t="n">
        <f aca="false">E50-D50+1</f>
        <v>12</v>
      </c>
      <c r="G50" s="17" t="s">
        <v>18</v>
      </c>
      <c r="H50" s="15" t="s">
        <v>108</v>
      </c>
    </row>
    <row r="51" customFormat="false" ht="15" hidden="false" customHeight="true" outlineLevel="0" collapsed="false">
      <c r="A51" s="8" t="s">
        <v>109</v>
      </c>
      <c r="B51" s="9" t="s">
        <v>106</v>
      </c>
      <c r="C51" s="10" t="s">
        <v>110</v>
      </c>
      <c r="D51" s="11" t="n">
        <v>46207</v>
      </c>
      <c r="E51" s="11" t="n">
        <v>46208</v>
      </c>
      <c r="F51" s="8" t="n">
        <f aca="false">E51-D51+1</f>
        <v>2</v>
      </c>
      <c r="G51" s="12" t="s">
        <v>18</v>
      </c>
      <c r="H51" s="10" t="s">
        <v>111</v>
      </c>
    </row>
    <row r="52" customFormat="false" ht="15" hidden="false" customHeight="true" outlineLevel="0" collapsed="false">
      <c r="A52" s="13" t="s">
        <v>112</v>
      </c>
      <c r="B52" s="14" t="s">
        <v>106</v>
      </c>
      <c r="C52" s="15" t="s">
        <v>113</v>
      </c>
      <c r="D52" s="16" t="n">
        <v>46206</v>
      </c>
      <c r="E52" s="16" t="n">
        <v>46206</v>
      </c>
      <c r="F52" s="13" t="n">
        <f aca="false">E52-D52+1</f>
        <v>1</v>
      </c>
      <c r="G52" s="17" t="s">
        <v>23</v>
      </c>
      <c r="H52" s="15" t="s">
        <v>114</v>
      </c>
    </row>
    <row r="53" customFormat="false" ht="15" hidden="false" customHeight="true" outlineLevel="0" collapsed="false">
      <c r="A53" s="8" t="s">
        <v>115</v>
      </c>
      <c r="B53" s="9" t="s">
        <v>106</v>
      </c>
      <c r="C53" s="10" t="s">
        <v>116</v>
      </c>
      <c r="D53" s="11" t="n">
        <v>46207</v>
      </c>
      <c r="E53" s="11" t="n">
        <v>46209</v>
      </c>
      <c r="F53" s="8" t="n">
        <f aca="false">E53-D53+1</f>
        <v>3</v>
      </c>
      <c r="G53" s="12" t="s">
        <v>23</v>
      </c>
      <c r="H53" s="10" t="s">
        <v>117</v>
      </c>
    </row>
    <row r="54" customFormat="false" ht="15" hidden="false" customHeight="true" outlineLevel="0" collapsed="false">
      <c r="A54" s="13" t="s">
        <v>118</v>
      </c>
      <c r="B54" s="14" t="s">
        <v>106</v>
      </c>
      <c r="C54" s="15" t="s">
        <v>119</v>
      </c>
      <c r="D54" s="16" t="n">
        <v>46211</v>
      </c>
      <c r="E54" s="16" t="n">
        <v>46213</v>
      </c>
      <c r="F54" s="13" t="n">
        <f aca="false">E54-D54+1</f>
        <v>3</v>
      </c>
      <c r="G54" s="17" t="s">
        <v>58</v>
      </c>
      <c r="H54" s="15" t="s">
        <v>120</v>
      </c>
    </row>
    <row r="55" customFormat="false" ht="15" hidden="false" customHeight="true" outlineLevel="0" collapsed="false">
      <c r="A55" s="8" t="s">
        <v>121</v>
      </c>
      <c r="B55" s="9" t="s">
        <v>106</v>
      </c>
      <c r="C55" s="10" t="s">
        <v>122</v>
      </c>
      <c r="D55" s="11" t="n">
        <v>46210</v>
      </c>
      <c r="E55" s="11" t="n">
        <v>46210</v>
      </c>
      <c r="F55" s="8" t="n">
        <f aca="false">E55-D55+1</f>
        <v>1</v>
      </c>
      <c r="G55" s="12" t="s">
        <v>18</v>
      </c>
      <c r="H55" s="10" t="s">
        <v>123</v>
      </c>
    </row>
    <row r="56" customFormat="false" ht="15" hidden="false" customHeight="true" outlineLevel="0" collapsed="false">
      <c r="A56" s="8" t="s">
        <v>124</v>
      </c>
      <c r="B56" s="9" t="s">
        <v>106</v>
      </c>
      <c r="C56" s="10" t="s">
        <v>125</v>
      </c>
      <c r="D56" s="11" t="n">
        <v>46211</v>
      </c>
      <c r="E56" s="11" t="n">
        <v>46217</v>
      </c>
      <c r="F56" s="8" t="n">
        <f aca="false">E56-D56+1</f>
        <v>7</v>
      </c>
      <c r="G56" s="12" t="s">
        <v>18</v>
      </c>
      <c r="H56" s="10" t="s">
        <v>126</v>
      </c>
    </row>
    <row r="57" customFormat="false" ht="14.2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</row>
    <row r="58" customFormat="false" ht="15" hidden="false" customHeight="true" outlineLevel="0" collapsed="false">
      <c r="A58" s="7" t="s">
        <v>127</v>
      </c>
      <c r="B58" s="7"/>
      <c r="C58" s="7"/>
      <c r="D58" s="7"/>
      <c r="E58" s="7"/>
      <c r="F58" s="7"/>
      <c r="G58" s="7"/>
      <c r="H58" s="7"/>
    </row>
    <row r="59" customFormat="false" ht="15" hidden="false" customHeight="true" outlineLevel="0" collapsed="false">
      <c r="A59" s="13" t="n">
        <v>39</v>
      </c>
      <c r="B59" s="14" t="s">
        <v>128</v>
      </c>
      <c r="C59" s="15" t="s">
        <v>129</v>
      </c>
      <c r="D59" s="16" t="n">
        <v>46171</v>
      </c>
      <c r="E59" s="16" t="n">
        <v>46171</v>
      </c>
      <c r="F59" s="13" t="n">
        <f aca="false">E59-D59+1</f>
        <v>1</v>
      </c>
      <c r="G59" s="17" t="s">
        <v>23</v>
      </c>
      <c r="H59" s="15" t="s">
        <v>130</v>
      </c>
    </row>
    <row r="60" customFormat="false" ht="15" hidden="false" customHeight="true" outlineLevel="0" collapsed="false">
      <c r="A60" s="8" t="n">
        <v>40</v>
      </c>
      <c r="B60" s="9" t="s">
        <v>128</v>
      </c>
      <c r="C60" s="10" t="s">
        <v>131</v>
      </c>
      <c r="D60" s="11" t="n">
        <v>46174</v>
      </c>
      <c r="E60" s="11" t="n">
        <v>46218</v>
      </c>
      <c r="F60" s="8" t="n">
        <f aca="false">E60-D60+1</f>
        <v>45</v>
      </c>
      <c r="G60" s="12" t="s">
        <v>23</v>
      </c>
      <c r="H60" s="10" t="s">
        <v>132</v>
      </c>
    </row>
    <row r="61" customFormat="false" ht="15" hidden="false" customHeight="true" outlineLevel="0" collapsed="false">
      <c r="A61" s="13" t="n">
        <v>41</v>
      </c>
      <c r="B61" s="14" t="s">
        <v>128</v>
      </c>
      <c r="C61" s="15" t="s">
        <v>133</v>
      </c>
      <c r="D61" s="16" t="n">
        <v>46176</v>
      </c>
      <c r="E61" s="16" t="n">
        <v>46183</v>
      </c>
      <c r="F61" s="13" t="n">
        <f aca="false">E61-D61+1</f>
        <v>8</v>
      </c>
      <c r="G61" s="17" t="s">
        <v>134</v>
      </c>
      <c r="H61" s="15" t="s">
        <v>135</v>
      </c>
    </row>
    <row r="62" customFormat="false" ht="15" hidden="false" customHeight="true" outlineLevel="0" collapsed="false">
      <c r="A62" s="8" t="n">
        <v>42</v>
      </c>
      <c r="B62" s="9" t="s">
        <v>128</v>
      </c>
      <c r="C62" s="10" t="s">
        <v>136</v>
      </c>
      <c r="D62" s="11" t="n">
        <v>46217</v>
      </c>
      <c r="E62" s="11" t="n">
        <v>46220</v>
      </c>
      <c r="F62" s="8" t="n">
        <f aca="false">E62-D62+1</f>
        <v>4</v>
      </c>
      <c r="G62" s="12" t="s">
        <v>134</v>
      </c>
      <c r="H62" s="10" t="s">
        <v>137</v>
      </c>
    </row>
    <row r="63" customFormat="false" ht="15" hidden="false" customHeight="true" outlineLevel="0" collapsed="false">
      <c r="A63" s="13" t="n">
        <v>43</v>
      </c>
      <c r="B63" s="14" t="s">
        <v>128</v>
      </c>
      <c r="C63" s="15" t="s">
        <v>138</v>
      </c>
      <c r="D63" s="16" t="n">
        <v>46185</v>
      </c>
      <c r="E63" s="16" t="n">
        <v>46185</v>
      </c>
      <c r="F63" s="13" t="n">
        <f aca="false">E63-D63+1</f>
        <v>1</v>
      </c>
      <c r="G63" s="17" t="s">
        <v>134</v>
      </c>
      <c r="H63" s="15" t="s">
        <v>139</v>
      </c>
    </row>
    <row r="64" customFormat="false" ht="15" hidden="false" customHeight="true" outlineLevel="0" collapsed="false">
      <c r="A64" s="8" t="n">
        <v>44</v>
      </c>
      <c r="B64" s="9" t="s">
        <v>128</v>
      </c>
      <c r="C64" s="10" t="s">
        <v>140</v>
      </c>
      <c r="D64" s="11" t="n">
        <v>46217</v>
      </c>
      <c r="E64" s="11" t="n">
        <v>46220</v>
      </c>
      <c r="F64" s="8" t="n">
        <f aca="false">E64-D64+1</f>
        <v>4</v>
      </c>
      <c r="G64" s="12" t="s">
        <v>23</v>
      </c>
      <c r="H64" s="10" t="s">
        <v>141</v>
      </c>
    </row>
    <row r="65" customFormat="false" ht="15" hidden="false" customHeight="true" outlineLevel="0" collapsed="false">
      <c r="A65" s="13" t="s">
        <v>142</v>
      </c>
      <c r="B65" s="14" t="s">
        <v>128</v>
      </c>
      <c r="C65" s="15" t="s">
        <v>143</v>
      </c>
      <c r="D65" s="16" t="n">
        <v>46210</v>
      </c>
      <c r="E65" s="16" t="n">
        <v>46210</v>
      </c>
      <c r="F65" s="13" t="n">
        <f aca="false">E65-D65+1</f>
        <v>1</v>
      </c>
      <c r="G65" s="17" t="s">
        <v>23</v>
      </c>
      <c r="H65" s="15" t="s">
        <v>144</v>
      </c>
    </row>
    <row r="66" customFormat="false" ht="15" hidden="false" customHeight="true" outlineLevel="0" collapsed="false">
      <c r="A66" s="13" t="n">
        <v>46</v>
      </c>
      <c r="B66" s="14" t="s">
        <v>128</v>
      </c>
      <c r="C66" s="15" t="s">
        <v>145</v>
      </c>
      <c r="D66" s="16" t="n">
        <v>46217</v>
      </c>
      <c r="E66" s="16" t="n">
        <v>46222</v>
      </c>
      <c r="F66" s="13" t="n">
        <f aca="false">E66-D66+1</f>
        <v>6</v>
      </c>
      <c r="G66" s="17" t="s">
        <v>18</v>
      </c>
      <c r="H66" s="15"/>
    </row>
    <row r="67" customFormat="false" ht="15" hidden="false" customHeight="true" outlineLevel="0" collapsed="false">
      <c r="A67" s="8" t="s">
        <v>146</v>
      </c>
      <c r="B67" s="9" t="s">
        <v>128</v>
      </c>
      <c r="C67" s="10" t="s">
        <v>147</v>
      </c>
      <c r="D67" s="11" t="n">
        <v>46209</v>
      </c>
      <c r="E67" s="11" t="n">
        <v>46229</v>
      </c>
      <c r="F67" s="8" t="n">
        <f aca="false">E67-D67+1</f>
        <v>21</v>
      </c>
      <c r="G67" s="12" t="s">
        <v>18</v>
      </c>
      <c r="H67" s="10" t="s">
        <v>148</v>
      </c>
    </row>
    <row r="68" customFormat="false" ht="15" hidden="false" customHeight="true" outlineLevel="0" collapsed="false">
      <c r="A68" s="13" t="s">
        <v>149</v>
      </c>
      <c r="B68" s="14" t="s">
        <v>128</v>
      </c>
      <c r="C68" s="15" t="s">
        <v>150</v>
      </c>
      <c r="D68" s="16" t="n">
        <v>46211</v>
      </c>
      <c r="E68" s="16" t="n">
        <v>46227</v>
      </c>
      <c r="F68" s="13" t="n">
        <f aca="false">E68-D68+1</f>
        <v>17</v>
      </c>
      <c r="G68" s="17" t="s">
        <v>58</v>
      </c>
      <c r="H68" s="15" t="s">
        <v>151</v>
      </c>
    </row>
    <row r="69" customFormat="false" ht="15" hidden="false" customHeight="true" outlineLevel="0" collapsed="false">
      <c r="A69" s="13" t="s">
        <v>152</v>
      </c>
      <c r="B69" s="14" t="s">
        <v>128</v>
      </c>
      <c r="C69" s="15" t="s">
        <v>153</v>
      </c>
      <c r="D69" s="16" t="n">
        <v>46211</v>
      </c>
      <c r="E69" s="16" t="n">
        <v>46212</v>
      </c>
      <c r="F69" s="13" t="n">
        <f aca="false">E69-D69+1</f>
        <v>2</v>
      </c>
      <c r="G69" s="17" t="s">
        <v>23</v>
      </c>
      <c r="H69" s="15" t="s">
        <v>154</v>
      </c>
    </row>
    <row r="70" customFormat="false" ht="15" hidden="false" customHeight="true" outlineLevel="0" collapsed="false">
      <c r="A70" s="8" t="n">
        <v>47</v>
      </c>
      <c r="B70" s="9" t="s">
        <v>128</v>
      </c>
      <c r="C70" s="10" t="s">
        <v>155</v>
      </c>
      <c r="D70" s="11" t="n">
        <v>46216</v>
      </c>
      <c r="E70" s="11" t="n">
        <v>46219</v>
      </c>
      <c r="F70" s="8" t="n">
        <f aca="false">E70-D70+1</f>
        <v>4</v>
      </c>
      <c r="G70" s="12" t="s">
        <v>18</v>
      </c>
      <c r="H70" s="10" t="s">
        <v>156</v>
      </c>
    </row>
    <row r="71" customFormat="false" ht="15" hidden="false" customHeight="true" outlineLevel="0" collapsed="false">
      <c r="A71" s="13" t="s">
        <v>157</v>
      </c>
      <c r="B71" s="14" t="s">
        <v>128</v>
      </c>
      <c r="C71" s="15" t="s">
        <v>158</v>
      </c>
      <c r="D71" s="16" t="n">
        <v>46216</v>
      </c>
      <c r="E71" s="16" t="n">
        <v>46223</v>
      </c>
      <c r="F71" s="13" t="n">
        <f aca="false">E71-D71+1</f>
        <v>8</v>
      </c>
      <c r="G71" s="17" t="s">
        <v>44</v>
      </c>
      <c r="H71" s="15" t="s">
        <v>159</v>
      </c>
    </row>
    <row r="72" customFormat="false" ht="15" hidden="false" customHeight="true" outlineLevel="0" collapsed="false">
      <c r="A72" s="13" t="s">
        <v>160</v>
      </c>
      <c r="B72" s="14" t="s">
        <v>128</v>
      </c>
      <c r="C72" s="15" t="s">
        <v>161</v>
      </c>
      <c r="D72" s="16" t="n">
        <v>46211</v>
      </c>
      <c r="E72" s="16" t="n">
        <v>46219</v>
      </c>
      <c r="F72" s="13" t="n">
        <f aca="false">E72-D72+1</f>
        <v>9</v>
      </c>
      <c r="G72" s="17" t="s">
        <v>134</v>
      </c>
      <c r="H72" s="15" t="s">
        <v>162</v>
      </c>
    </row>
    <row r="73" customFormat="false" ht="15" hidden="false" customHeight="true" outlineLevel="0" collapsed="false">
      <c r="A73" s="8" t="n">
        <v>48</v>
      </c>
      <c r="B73" s="9" t="s">
        <v>128</v>
      </c>
      <c r="C73" s="10" t="s">
        <v>163</v>
      </c>
      <c r="D73" s="11" t="n">
        <v>46219</v>
      </c>
      <c r="E73" s="11" t="n">
        <v>46229</v>
      </c>
      <c r="F73" s="8" t="n">
        <f aca="false">E73-D73+1</f>
        <v>11</v>
      </c>
      <c r="G73" s="12" t="s">
        <v>44</v>
      </c>
      <c r="H73" s="10" t="s">
        <v>164</v>
      </c>
    </row>
    <row r="74" customFormat="false" ht="15" hidden="false" customHeight="true" outlineLevel="0" collapsed="false">
      <c r="A74" s="13" t="n">
        <v>49</v>
      </c>
      <c r="B74" s="14" t="s">
        <v>128</v>
      </c>
      <c r="C74" s="15" t="s">
        <v>165</v>
      </c>
      <c r="D74" s="16" t="n">
        <v>46231</v>
      </c>
      <c r="E74" s="16" t="n">
        <v>46237</v>
      </c>
      <c r="F74" s="13" t="n">
        <f aca="false">E74-D74+1</f>
        <v>7</v>
      </c>
      <c r="G74" s="17" t="s">
        <v>134</v>
      </c>
      <c r="H74" s="15" t="s">
        <v>166</v>
      </c>
    </row>
    <row r="75" customFormat="false" ht="12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</row>
    <row r="76" customFormat="false" ht="15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</row>
    <row r="78" customFormat="false" ht="15" hidden="false" customHeight="true" outlineLevel="0" collapsed="false">
      <c r="A78" s="7" t="s">
        <v>167</v>
      </c>
      <c r="B78" s="7"/>
      <c r="C78" s="7"/>
      <c r="D78" s="7"/>
      <c r="E78" s="7"/>
      <c r="F78" s="7"/>
      <c r="G78" s="7"/>
      <c r="H78" s="7"/>
    </row>
    <row r="79" customFormat="false" ht="15" hidden="false" customHeight="true" outlineLevel="0" collapsed="false">
      <c r="A79" s="8" t="n">
        <v>53</v>
      </c>
      <c r="B79" s="9" t="s">
        <v>168</v>
      </c>
      <c r="C79" s="10" t="s">
        <v>169</v>
      </c>
      <c r="D79" s="11" t="n">
        <v>46175</v>
      </c>
      <c r="E79" s="11" t="n">
        <v>46175</v>
      </c>
      <c r="F79" s="8" t="n">
        <f aca="false">E79-D79+1</f>
        <v>1</v>
      </c>
      <c r="G79" s="12" t="s">
        <v>23</v>
      </c>
      <c r="H79" s="10" t="s">
        <v>170</v>
      </c>
    </row>
    <row r="80" customFormat="false" ht="15" hidden="false" customHeight="true" outlineLevel="0" collapsed="false">
      <c r="A80" s="13" t="n">
        <v>54</v>
      </c>
      <c r="B80" s="14" t="s">
        <v>168</v>
      </c>
      <c r="C80" s="15" t="s">
        <v>171</v>
      </c>
      <c r="D80" s="16" t="n">
        <v>46189</v>
      </c>
      <c r="E80" s="16" t="n">
        <v>46189</v>
      </c>
      <c r="F80" s="13" t="n">
        <f aca="false">E80-D80+1</f>
        <v>1</v>
      </c>
      <c r="G80" s="17" t="s">
        <v>23</v>
      </c>
      <c r="H80" s="15" t="s">
        <v>172</v>
      </c>
    </row>
    <row r="81" customFormat="false" ht="15" hidden="false" customHeight="true" outlineLevel="0" collapsed="false">
      <c r="A81" s="8" t="s">
        <v>173</v>
      </c>
      <c r="B81" s="9" t="s">
        <v>168</v>
      </c>
      <c r="C81" s="10" t="s">
        <v>174</v>
      </c>
      <c r="D81" s="11" t="n">
        <v>46210</v>
      </c>
      <c r="E81" s="11" t="n">
        <v>46210</v>
      </c>
      <c r="F81" s="8" t="n">
        <f aca="false">E81-D81+1</f>
        <v>1</v>
      </c>
      <c r="G81" s="12" t="s">
        <v>23</v>
      </c>
      <c r="H81" s="10" t="s">
        <v>175</v>
      </c>
    </row>
    <row r="82" customFormat="false" ht="15" hidden="false" customHeight="true" outlineLevel="0" collapsed="false">
      <c r="A82" s="8" t="s">
        <v>176</v>
      </c>
      <c r="B82" s="9" t="s">
        <v>168</v>
      </c>
      <c r="C82" s="10" t="s">
        <v>177</v>
      </c>
      <c r="D82" s="11" t="n">
        <v>46218</v>
      </c>
      <c r="E82" s="11" t="n">
        <v>46218</v>
      </c>
      <c r="F82" s="8" t="n">
        <f aca="false">E82-D82+1</f>
        <v>1</v>
      </c>
      <c r="G82" s="12" t="s">
        <v>23</v>
      </c>
      <c r="H82" s="10" t="s">
        <v>178</v>
      </c>
    </row>
    <row r="83" customFormat="false" ht="15" hidden="false" customHeight="false" outlineLevel="0" collapsed="false">
      <c r="A83" s="8" t="s">
        <v>179</v>
      </c>
      <c r="B83" s="9" t="s">
        <v>168</v>
      </c>
      <c r="C83" s="10" t="s">
        <v>180</v>
      </c>
      <c r="D83" s="11" t="n">
        <v>46223</v>
      </c>
      <c r="E83" s="11" t="n">
        <v>46223</v>
      </c>
      <c r="F83" s="8" t="n">
        <f aca="false">E83-D83+1</f>
        <v>1</v>
      </c>
      <c r="G83" s="12" t="s">
        <v>23</v>
      </c>
      <c r="H83" s="10" t="s">
        <v>181</v>
      </c>
    </row>
    <row r="84" customFormat="false" ht="15" hidden="false" customHeight="false" outlineLevel="0" collapsed="false">
      <c r="A84" s="13" t="n">
        <v>55</v>
      </c>
      <c r="B84" s="14" t="s">
        <v>168</v>
      </c>
      <c r="C84" s="15" t="s">
        <v>182</v>
      </c>
      <c r="D84" s="16" t="n">
        <v>46229</v>
      </c>
      <c r="E84" s="16" t="n">
        <v>46229</v>
      </c>
      <c r="F84" s="13" t="n">
        <f aca="false">E84-D84+1</f>
        <v>1</v>
      </c>
      <c r="G84" s="17" t="s">
        <v>23</v>
      </c>
      <c r="H84" s="15" t="s">
        <v>183</v>
      </c>
    </row>
    <row r="85" customFormat="false" ht="15" hidden="false" customHeight="false" outlineLevel="0" collapsed="false">
      <c r="A85" s="8" t="n">
        <v>56</v>
      </c>
      <c r="B85" s="9" t="s">
        <v>168</v>
      </c>
      <c r="C85" s="10" t="s">
        <v>184</v>
      </c>
      <c r="D85" s="11" t="n">
        <v>46237</v>
      </c>
      <c r="E85" s="11" t="n">
        <v>46239</v>
      </c>
      <c r="F85" s="8" t="n">
        <f aca="false">E85-D85+1</f>
        <v>3</v>
      </c>
      <c r="G85" s="12" t="s">
        <v>23</v>
      </c>
      <c r="H85" s="10" t="s">
        <v>185</v>
      </c>
    </row>
    <row r="86" customFormat="false" ht="15" hidden="false" customHeight="false" outlineLevel="0" collapsed="false">
      <c r="A86" s="8" t="s">
        <v>186</v>
      </c>
      <c r="B86" s="9" t="s">
        <v>168</v>
      </c>
      <c r="C86" s="10" t="s">
        <v>187</v>
      </c>
      <c r="D86" s="11" t="n">
        <v>46238</v>
      </c>
      <c r="E86" s="11" t="n">
        <v>46238</v>
      </c>
      <c r="F86" s="8" t="n">
        <f aca="false">E86-D86+1</f>
        <v>1</v>
      </c>
      <c r="G86" s="12" t="s">
        <v>23</v>
      </c>
      <c r="H86" s="10" t="s">
        <v>188</v>
      </c>
    </row>
    <row r="87" customFormat="false" ht="15" hidden="false" customHeight="false" outlineLevel="0" collapsed="false">
      <c r="A87" s="13" t="n">
        <v>57</v>
      </c>
      <c r="B87" s="14" t="s">
        <v>168</v>
      </c>
      <c r="C87" s="15" t="s">
        <v>189</v>
      </c>
      <c r="D87" s="16" t="n">
        <v>46238</v>
      </c>
      <c r="E87" s="16" t="n">
        <v>46238</v>
      </c>
      <c r="F87" s="13" t="n">
        <f aca="false">E87-D87+1</f>
        <v>1</v>
      </c>
      <c r="G87" s="17" t="s">
        <v>190</v>
      </c>
      <c r="H87" s="15" t="s">
        <v>191</v>
      </c>
    </row>
    <row r="88" customFormat="false" ht="15" hidden="false" customHeight="false" outlineLevel="0" collapsed="false">
      <c r="A88" s="8" t="n">
        <v>58</v>
      </c>
      <c r="B88" s="9" t="s">
        <v>168</v>
      </c>
      <c r="C88" s="10" t="s">
        <v>192</v>
      </c>
      <c r="D88" s="11" t="n">
        <v>46240</v>
      </c>
      <c r="E88" s="11" t="n">
        <v>46240</v>
      </c>
      <c r="F88" s="8" t="n">
        <f aca="false">E88-D88+1</f>
        <v>1</v>
      </c>
      <c r="G88" s="12" t="s">
        <v>193</v>
      </c>
      <c r="H88" s="10"/>
    </row>
  </sheetData>
  <mergeCells count="15">
    <mergeCell ref="A1:H1"/>
    <mergeCell ref="A2:H2"/>
    <mergeCell ref="A5:H5"/>
    <mergeCell ref="A19:H19"/>
    <mergeCell ref="A20:H20"/>
    <mergeCell ref="A30:H30"/>
    <mergeCell ref="A31:H31"/>
    <mergeCell ref="A48:H48"/>
    <mergeCell ref="A49:H49"/>
    <mergeCell ref="A57:H57"/>
    <mergeCell ref="A58:H58"/>
    <mergeCell ref="A75:H75"/>
    <mergeCell ref="A76:H76"/>
    <mergeCell ref="A77:H77"/>
    <mergeCell ref="A78:H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19" t="s">
        <v>194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4" t="s">
        <v>195</v>
      </c>
      <c r="B2" s="4" t="s">
        <v>196</v>
      </c>
      <c r="C2" s="4" t="s">
        <v>197</v>
      </c>
      <c r="D2" s="4" t="s">
        <v>198</v>
      </c>
      <c r="E2" s="4" t="s">
        <v>199</v>
      </c>
      <c r="F2" s="4" t="s">
        <v>200</v>
      </c>
    </row>
    <row r="3" customFormat="false" ht="15" hidden="false" customHeight="true" outlineLevel="0" collapsed="false">
      <c r="A3" s="20" t="s">
        <v>11</v>
      </c>
      <c r="B3" s="20" t="s">
        <v>11</v>
      </c>
      <c r="C3" s="21" t="n">
        <f aca="false">MIN('Project Plan'!D6:D18)</f>
        <v>46127</v>
      </c>
      <c r="D3" s="21" t="n">
        <f aca="false">MAX('Project Plan'!E6:E18)</f>
        <v>46237</v>
      </c>
      <c r="E3" s="22" t="n">
        <f aca="false">D3-C3+1</f>
        <v>111</v>
      </c>
      <c r="F3" s="23" t="s">
        <v>201</v>
      </c>
    </row>
    <row r="4" customFormat="false" ht="15" hidden="false" customHeight="true" outlineLevel="0" collapsed="false">
      <c r="A4" s="20" t="s">
        <v>47</v>
      </c>
      <c r="B4" s="20" t="s">
        <v>47</v>
      </c>
      <c r="C4" s="21" t="n">
        <f aca="false">MIN('Project Plan'!D21:D29)</f>
        <v>46160</v>
      </c>
      <c r="D4" s="21" t="n">
        <f aca="false">MAX('Project Plan'!E21:E29)</f>
        <v>46223</v>
      </c>
      <c r="E4" s="22" t="n">
        <f aca="false">D4-C4+1</f>
        <v>64</v>
      </c>
      <c r="F4" s="23" t="s">
        <v>202</v>
      </c>
    </row>
    <row r="5" customFormat="false" ht="15" hidden="false" customHeight="true" outlineLevel="0" collapsed="false">
      <c r="A5" s="20" t="s">
        <v>69</v>
      </c>
      <c r="B5" s="20" t="s">
        <v>203</v>
      </c>
      <c r="C5" s="21" t="n">
        <f aca="false">MIN('Project Plan'!D32:D47)</f>
        <v>46143</v>
      </c>
      <c r="D5" s="21" t="n">
        <f aca="false">MAX('Project Plan'!E32:E47)</f>
        <v>46237</v>
      </c>
      <c r="E5" s="22" t="n">
        <f aca="false">D5-C5+1</f>
        <v>95</v>
      </c>
      <c r="F5" s="23" t="s">
        <v>204</v>
      </c>
    </row>
    <row r="6" customFormat="false" ht="15" hidden="false" customHeight="true" outlineLevel="0" collapsed="false">
      <c r="A6" s="20" t="s">
        <v>106</v>
      </c>
      <c r="B6" s="20" t="s">
        <v>205</v>
      </c>
      <c r="C6" s="21" t="n">
        <f aca="false">MIN('Project Plan'!D50:D56)</f>
        <v>46193</v>
      </c>
      <c r="D6" s="21" t="n">
        <f aca="false">MAX('Project Plan'!E50:E56)</f>
        <v>46217</v>
      </c>
      <c r="E6" s="22" t="n">
        <f aca="false">D6-C6+1</f>
        <v>25</v>
      </c>
      <c r="F6" s="23" t="s">
        <v>206</v>
      </c>
    </row>
    <row r="7" customFormat="false" ht="15" hidden="false" customHeight="true" outlineLevel="0" collapsed="false">
      <c r="A7" s="20" t="s">
        <v>128</v>
      </c>
      <c r="B7" s="20" t="s">
        <v>207</v>
      </c>
      <c r="C7" s="21" t="n">
        <f aca="false">MIN('Project Plan'!D59:D74)</f>
        <v>46171</v>
      </c>
      <c r="D7" s="21" t="n">
        <f aca="false">MAX('Project Plan'!E59:E74)</f>
        <v>46237</v>
      </c>
      <c r="E7" s="22" t="n">
        <f aca="false">D7-C7+1</f>
        <v>67</v>
      </c>
      <c r="F7" s="23" t="s">
        <v>208</v>
      </c>
    </row>
    <row r="8" customFormat="false" ht="15" hidden="false" customHeight="true" outlineLevel="0" collapsed="false">
      <c r="A8" s="20" t="s">
        <v>168</v>
      </c>
      <c r="B8" s="20" t="s">
        <v>209</v>
      </c>
      <c r="C8" s="21" t="n">
        <f aca="false">MIN('Project Plan'!D79:D88)</f>
        <v>46175</v>
      </c>
      <c r="D8" s="21" t="n">
        <f aca="false">MAX('Project Plan'!E79:E88)</f>
        <v>46240</v>
      </c>
      <c r="E8" s="22" t="n">
        <f aca="false">D8-C8+1</f>
        <v>66</v>
      </c>
      <c r="F8" s="23" t="s">
        <v>210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2026-03-28T09:29:11Z</dcterms:created>
  <dc:creator>openpyxl</dc:creator>
  <dc:description/>
  <dc:language>en-US</dc:language>
  <cp:lastModifiedBy>דייויד קסטיאל</cp:lastModifiedBy>
  <cp:lastPrinted>2026-03-31T05:59:50Z</cp:lastPrinted>
  <dcterms:modified xsi:type="dcterms:W3CDTF">2026-07-14T07:24:12Z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